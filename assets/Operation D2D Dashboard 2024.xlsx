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o\Downloads\"/>
    </mc:Choice>
  </mc:AlternateContent>
  <xr:revisionPtr revIDLastSave="0" documentId="8_{AAD6399E-B804-4F52-A020-82EA8FFA0DE6}" xr6:coauthVersionLast="47" xr6:coauthVersionMax="47" xr10:uidLastSave="{00000000-0000-0000-0000-000000000000}"/>
  <bookViews>
    <workbookView xWindow="-110" yWindow="-110" windowWidth="27580" windowHeight="18000" tabRatio="599" activeTab="5" xr2:uid="{5809C5CA-4438-4411-83AA-5E1604CD0660}"/>
  </bookViews>
  <sheets>
    <sheet name="OPS Dashboard" sheetId="1" r:id="rId1"/>
    <sheet name="2023 REVENUE PERFORMANCE" sheetId="25" r:id="rId2"/>
    <sheet name="2023 MILEAGE PERFORMANCE" sheetId="18" r:id="rId3"/>
    <sheet name="DELAY TRACKER 24" sheetId="26" state="hidden" r:id="rId4"/>
    <sheet name="Sheet2" sheetId="27" state="hidden" r:id="rId5"/>
    <sheet name="JULY 24" sheetId="35" r:id="rId6"/>
    <sheet name="JUNE 24" sheetId="34" r:id="rId7"/>
    <sheet name="MAY 24" sheetId="33" r:id="rId8"/>
    <sheet name="APR 24" sheetId="32" r:id="rId9"/>
    <sheet name="MAR 24" sheetId="30" r:id="rId10"/>
    <sheet name="FEB 24" sheetId="29" r:id="rId11"/>
    <sheet name="JAN 24" sheetId="24" r:id="rId12"/>
    <sheet name="December 23" sheetId="23" r:id="rId13"/>
    <sheet name="November" sheetId="22" r:id="rId14"/>
    <sheet name="October 23" sheetId="21" r:id="rId15"/>
    <sheet name="September 23" sheetId="19" r:id="rId16"/>
    <sheet name="August 23" sheetId="17" r:id="rId17"/>
    <sheet name="July 23" sheetId="14" r:id="rId18"/>
    <sheet name="June 23" sheetId="7" r:id="rId19"/>
    <sheet name="May 23" sheetId="5" r:id="rId20"/>
    <sheet name="April 23" sheetId="3" r:id="rId21"/>
    <sheet name="March 23" sheetId="2" r:id="rId22"/>
    <sheet name="2022 REVENUE PERFORMANCE" sheetId="13" r:id="rId23"/>
    <sheet name="2022 MILEAGE PERFORMANCE" sheetId="6" r:id="rId24"/>
    <sheet name="Sheet1" sheetId="31" r:id="rId25"/>
    <sheet name="JULY DELAYS" sheetId="15" state="hidden" r:id="rId26"/>
  </sheets>
  <definedNames>
    <definedName name="_xlnm._FilterDatabase" localSheetId="2" hidden="1">'2023 MILEAGE PERFORMANCE'!$B$1:$G$18</definedName>
    <definedName name="_xlnm._FilterDatabase" localSheetId="25" hidden="1">'JULY DELAYS'!$B$2:$R$19</definedName>
    <definedName name="_xlnm._FilterDatabase" localSheetId="0" hidden="1">'OPS Dashboard'!$B$2:$Z$23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7" i="35" l="1"/>
  <c r="AG27" i="35"/>
  <c r="AG26" i="35" s="1"/>
  <c r="AF27" i="35"/>
  <c r="AF26" i="35" s="1"/>
  <c r="AE27" i="35"/>
  <c r="AE26" i="35" s="1"/>
  <c r="AD27" i="35"/>
  <c r="AD26" i="35" s="1"/>
  <c r="AC27" i="35"/>
  <c r="AC26" i="35" s="1"/>
  <c r="AB27" i="35"/>
  <c r="AB26" i="35" s="1"/>
  <c r="AA27" i="35"/>
  <c r="AA26" i="35" s="1"/>
  <c r="Z27" i="35"/>
  <c r="Z26" i="35" s="1"/>
  <c r="Y27" i="35"/>
  <c r="Y26" i="35" s="1"/>
  <c r="X27" i="35"/>
  <c r="W27" i="35"/>
  <c r="W26" i="35" s="1"/>
  <c r="V27" i="35"/>
  <c r="V26" i="35" s="1"/>
  <c r="U27" i="35"/>
  <c r="U26" i="35" s="1"/>
  <c r="T27" i="35"/>
  <c r="T26" i="35" s="1"/>
  <c r="S27" i="35"/>
  <c r="S26" i="35" s="1"/>
  <c r="R27" i="35"/>
  <c r="R26" i="35" s="1"/>
  <c r="Q27" i="35"/>
  <c r="Q26" i="35" s="1"/>
  <c r="P27" i="35"/>
  <c r="P26" i="35" s="1"/>
  <c r="O27" i="35"/>
  <c r="O26" i="35" s="1"/>
  <c r="N27" i="35"/>
  <c r="N26" i="35" s="1"/>
  <c r="M27" i="35"/>
  <c r="M26" i="35" s="1"/>
  <c r="L27" i="35"/>
  <c r="L26" i="35" s="1"/>
  <c r="K27" i="35"/>
  <c r="K26" i="35" s="1"/>
  <c r="J27" i="35"/>
  <c r="J26" i="35" s="1"/>
  <c r="I27" i="35"/>
  <c r="I26" i="35" s="1"/>
  <c r="H27" i="35"/>
  <c r="G27" i="35"/>
  <c r="G26" i="35" s="1"/>
  <c r="F27" i="35"/>
  <c r="F26" i="35" s="1"/>
  <c r="E27" i="35"/>
  <c r="E26" i="35" s="1"/>
  <c r="D27" i="35"/>
  <c r="D26" i="35" s="1"/>
  <c r="AH26" i="35"/>
  <c r="X26" i="35"/>
  <c r="H26" i="35"/>
  <c r="AJ25" i="35"/>
  <c r="AJ24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AK23" i="35"/>
  <c r="AM23" i="35" s="1"/>
  <c r="AI23" i="35"/>
  <c r="AK5" i="35"/>
  <c r="AM5" i="35" s="1"/>
  <c r="AI5" i="35"/>
  <c r="AK4" i="35"/>
  <c r="AM4" i="35" s="1"/>
  <c r="AI4" i="35"/>
  <c r="AL3" i="35"/>
  <c r="AK3" i="35"/>
  <c r="AM3" i="35" s="1"/>
  <c r="AI3" i="35"/>
  <c r="AK22" i="35"/>
  <c r="AM22" i="35" s="1"/>
  <c r="AI22" i="35"/>
  <c r="AK11" i="35"/>
  <c r="AL11" i="35" s="1"/>
  <c r="AI11" i="35"/>
  <c r="AK16" i="35"/>
  <c r="AM16" i="35" s="1"/>
  <c r="AI16" i="35"/>
  <c r="AK20" i="35"/>
  <c r="AM20" i="35" s="1"/>
  <c r="AI20" i="35"/>
  <c r="AK21" i="35"/>
  <c r="AM21" i="35" s="1"/>
  <c r="AI21" i="35"/>
  <c r="AK17" i="35"/>
  <c r="AM17" i="35" s="1"/>
  <c r="AI17" i="35"/>
  <c r="AK15" i="35"/>
  <c r="AM15" i="35" s="1"/>
  <c r="AI15" i="35"/>
  <c r="AK18" i="35"/>
  <c r="AM18" i="35" s="1"/>
  <c r="AI18" i="35"/>
  <c r="AK19" i="35"/>
  <c r="AM19" i="35" s="1"/>
  <c r="AI19" i="35"/>
  <c r="AK7" i="35"/>
  <c r="AM7" i="35" s="1"/>
  <c r="AI7" i="35"/>
  <c r="AK13" i="35"/>
  <c r="AM13" i="35" s="1"/>
  <c r="AI13" i="35"/>
  <c r="AK8" i="35"/>
  <c r="AM8" i="35" s="1"/>
  <c r="AI8" i="35"/>
  <c r="AK14" i="35"/>
  <c r="AM14" i="35" s="1"/>
  <c r="AI14" i="35"/>
  <c r="AK10" i="35"/>
  <c r="AM10" i="35" s="1"/>
  <c r="AI10" i="35"/>
  <c r="AK9" i="35"/>
  <c r="AM9" i="35" s="1"/>
  <c r="AI9" i="35"/>
  <c r="AK12" i="35"/>
  <c r="AM12" i="35" s="1"/>
  <c r="AI12" i="35"/>
  <c r="AK6" i="35"/>
  <c r="AI6" i="35"/>
  <c r="AK24" i="34"/>
  <c r="AK4" i="34"/>
  <c r="AK5" i="34"/>
  <c r="AK6" i="34"/>
  <c r="AL6" i="34" s="1"/>
  <c r="AK7" i="34"/>
  <c r="AK8" i="34"/>
  <c r="AK9" i="34"/>
  <c r="AK10" i="34"/>
  <c r="AK11" i="34"/>
  <c r="AL11" i="34" s="1"/>
  <c r="AK12" i="34"/>
  <c r="AK13" i="34"/>
  <c r="AK14" i="34"/>
  <c r="AK15" i="34"/>
  <c r="AL15" i="34" s="1"/>
  <c r="AK16" i="34"/>
  <c r="AK17" i="34"/>
  <c r="AK18" i="34"/>
  <c r="AL18" i="34" s="1"/>
  <c r="AK19" i="34"/>
  <c r="AK20" i="34"/>
  <c r="AK21" i="34"/>
  <c r="AK22" i="34"/>
  <c r="AK23" i="34"/>
  <c r="AL23" i="34" s="1"/>
  <c r="AK3" i="34"/>
  <c r="AL7" i="33"/>
  <c r="AL8" i="33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23" i="33"/>
  <c r="AL8" i="34"/>
  <c r="AJ24" i="34"/>
  <c r="AL10" i="34"/>
  <c r="AL5" i="34"/>
  <c r="AL4" i="34"/>
  <c r="AL9" i="34"/>
  <c r="AL7" i="34"/>
  <c r="AL13" i="34"/>
  <c r="AL17" i="34"/>
  <c r="AL14" i="34"/>
  <c r="AL12" i="34"/>
  <c r="AL16" i="34"/>
  <c r="AL19" i="34"/>
  <c r="AL6" i="33"/>
  <c r="AK24" i="35" l="1"/>
  <c r="AL24" i="35" s="1"/>
  <c r="AL23" i="35"/>
  <c r="AL5" i="35"/>
  <c r="AL4" i="35"/>
  <c r="AL22" i="35"/>
  <c r="AL6" i="35"/>
  <c r="AL12" i="35"/>
  <c r="AL9" i="35"/>
  <c r="AL10" i="35"/>
  <c r="AL14" i="35"/>
  <c r="AL8" i="35"/>
  <c r="AL13" i="35"/>
  <c r="AL7" i="35"/>
  <c r="AL19" i="35"/>
  <c r="AL18" i="35"/>
  <c r="AL15" i="35"/>
  <c r="AL17" i="35"/>
  <c r="AL21" i="35"/>
  <c r="AL20" i="35"/>
  <c r="AL16" i="35"/>
  <c r="AK25" i="35"/>
  <c r="AM6" i="35"/>
  <c r="AF26" i="1"/>
  <c r="AF25" i="1"/>
  <c r="AH27" i="34"/>
  <c r="AH26" i="34" s="1"/>
  <c r="AG27" i="34"/>
  <c r="AG26" i="34" s="1"/>
  <c r="AF27" i="34"/>
  <c r="AF26" i="34" s="1"/>
  <c r="AE27" i="34"/>
  <c r="AE26" i="34" s="1"/>
  <c r="AD27" i="34"/>
  <c r="AD26" i="34" s="1"/>
  <c r="AC27" i="34"/>
  <c r="AC26" i="34" s="1"/>
  <c r="AB27" i="34"/>
  <c r="AB26" i="34" s="1"/>
  <c r="AA27" i="34"/>
  <c r="AA26" i="34" s="1"/>
  <c r="Z27" i="34"/>
  <c r="Z26" i="34" s="1"/>
  <c r="Y27" i="34"/>
  <c r="Y26" i="34" s="1"/>
  <c r="X27" i="34"/>
  <c r="X26" i="34" s="1"/>
  <c r="W27" i="34"/>
  <c r="W26" i="34" s="1"/>
  <c r="V27" i="34"/>
  <c r="V26" i="34" s="1"/>
  <c r="U27" i="34"/>
  <c r="U26" i="34" s="1"/>
  <c r="T27" i="34"/>
  <c r="T26" i="34" s="1"/>
  <c r="S27" i="34"/>
  <c r="S26" i="34" s="1"/>
  <c r="R27" i="34"/>
  <c r="R26" i="34" s="1"/>
  <c r="Q27" i="34"/>
  <c r="Q26" i="34" s="1"/>
  <c r="P27" i="34"/>
  <c r="O27" i="34"/>
  <c r="O26" i="34" s="1"/>
  <c r="N27" i="34"/>
  <c r="N26" i="34" s="1"/>
  <c r="M27" i="34"/>
  <c r="M26" i="34" s="1"/>
  <c r="L27" i="34"/>
  <c r="L26" i="34" s="1"/>
  <c r="K27" i="34"/>
  <c r="K26" i="34" s="1"/>
  <c r="J27" i="34"/>
  <c r="J26" i="34" s="1"/>
  <c r="I27" i="34"/>
  <c r="I26" i="34" s="1"/>
  <c r="H27" i="34"/>
  <c r="H26" i="34" s="1"/>
  <c r="G27" i="34"/>
  <c r="G26" i="34" s="1"/>
  <c r="F27" i="34"/>
  <c r="F26" i="34" s="1"/>
  <c r="E27" i="34"/>
  <c r="E26" i="34" s="1"/>
  <c r="D27" i="34"/>
  <c r="D26" i="34" s="1"/>
  <c r="P26" i="34"/>
  <c r="AJ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AM23" i="34"/>
  <c r="AI23" i="34"/>
  <c r="AM19" i="34"/>
  <c r="AI19" i="34"/>
  <c r="AM15" i="34"/>
  <c r="AI15" i="34"/>
  <c r="AM16" i="34"/>
  <c r="AI16" i="34"/>
  <c r="AM11" i="34"/>
  <c r="AI11" i="34"/>
  <c r="AM12" i="34"/>
  <c r="AI12" i="34"/>
  <c r="AM14" i="34"/>
  <c r="AI14" i="34"/>
  <c r="AM17" i="34"/>
  <c r="AI17" i="34"/>
  <c r="AM13" i="34"/>
  <c r="AI13" i="34"/>
  <c r="AM7" i="34"/>
  <c r="AI7" i="34"/>
  <c r="AM9" i="34"/>
  <c r="AI9" i="34"/>
  <c r="AM4" i="34"/>
  <c r="AI4" i="34"/>
  <c r="AI18" i="34"/>
  <c r="AM6" i="34"/>
  <c r="AI6" i="34"/>
  <c r="AM5" i="34"/>
  <c r="AI5" i="34"/>
  <c r="AM8" i="34"/>
  <c r="AI8" i="34"/>
  <c r="AM10" i="34"/>
  <c r="AI10" i="34"/>
  <c r="AM3" i="34"/>
  <c r="AI3" i="34"/>
  <c r="AL22" i="34"/>
  <c r="AM22" i="34"/>
  <c r="AI22" i="34"/>
  <c r="AL21" i="34"/>
  <c r="AM21" i="34"/>
  <c r="AI21" i="34"/>
  <c r="AL20" i="34"/>
  <c r="AM20" i="34"/>
  <c r="AI20" i="34"/>
  <c r="AK3" i="33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3" i="1"/>
  <c r="AE26" i="1"/>
  <c r="AE25" i="1"/>
  <c r="AJ24" i="32"/>
  <c r="AK24" i="32"/>
  <c r="AL24" i="32"/>
  <c r="AH27" i="33"/>
  <c r="AH26" i="33" s="1"/>
  <c r="AG27" i="33"/>
  <c r="AG26" i="33" s="1"/>
  <c r="AF27" i="33"/>
  <c r="AF26" i="33" s="1"/>
  <c r="AE27" i="33"/>
  <c r="AE26" i="33" s="1"/>
  <c r="AD27" i="33"/>
  <c r="AC27" i="33"/>
  <c r="AC26" i="33" s="1"/>
  <c r="AB27" i="33"/>
  <c r="AB26" i="33" s="1"/>
  <c r="AA27" i="33"/>
  <c r="AA26" i="33" s="1"/>
  <c r="Z27" i="33"/>
  <c r="Z26" i="33" s="1"/>
  <c r="Y27" i="33"/>
  <c r="Y26" i="33" s="1"/>
  <c r="X27" i="33"/>
  <c r="X26" i="33" s="1"/>
  <c r="W27" i="33"/>
  <c r="W26" i="33" s="1"/>
  <c r="V27" i="33"/>
  <c r="U27" i="33"/>
  <c r="U26" i="33" s="1"/>
  <c r="T27" i="33"/>
  <c r="T26" i="33" s="1"/>
  <c r="S27" i="33"/>
  <c r="S26" i="33" s="1"/>
  <c r="R27" i="33"/>
  <c r="Q27" i="33"/>
  <c r="Q26" i="33" s="1"/>
  <c r="P27" i="33"/>
  <c r="P26" i="33" s="1"/>
  <c r="O27" i="33"/>
  <c r="O26" i="33" s="1"/>
  <c r="N27" i="33"/>
  <c r="M27" i="33"/>
  <c r="M26" i="33" s="1"/>
  <c r="L27" i="33"/>
  <c r="L26" i="33" s="1"/>
  <c r="K27" i="33"/>
  <c r="K26" i="33" s="1"/>
  <c r="J27" i="33"/>
  <c r="J26" i="33" s="1"/>
  <c r="I27" i="33"/>
  <c r="I26" i="33" s="1"/>
  <c r="H27" i="33"/>
  <c r="H26" i="33" s="1"/>
  <c r="G27" i="33"/>
  <c r="G26" i="33" s="1"/>
  <c r="F27" i="33"/>
  <c r="F26" i="33" s="1"/>
  <c r="E27" i="33"/>
  <c r="E26" i="33" s="1"/>
  <c r="D27" i="33"/>
  <c r="D26" i="33" s="1"/>
  <c r="AD26" i="33"/>
  <c r="V26" i="33"/>
  <c r="R26" i="33"/>
  <c r="N26" i="33"/>
  <c r="AJ25" i="33"/>
  <c r="AJ24" i="33"/>
  <c r="AH24" i="33"/>
  <c r="AG24" i="33"/>
  <c r="AF24" i="33"/>
  <c r="AE24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AM23" i="33"/>
  <c r="AK23" i="33"/>
  <c r="AI23" i="33"/>
  <c r="AK22" i="33"/>
  <c r="AM22" i="33" s="1"/>
  <c r="AI22" i="33"/>
  <c r="AK21" i="33"/>
  <c r="AM21" i="33" s="1"/>
  <c r="AI21" i="33"/>
  <c r="AK20" i="33"/>
  <c r="AM20" i="33" s="1"/>
  <c r="AI20" i="33"/>
  <c r="AK19" i="33"/>
  <c r="AM19" i="33" s="1"/>
  <c r="AI19" i="33"/>
  <c r="AK18" i="33"/>
  <c r="AM18" i="33" s="1"/>
  <c r="AI18" i="33"/>
  <c r="AK17" i="33"/>
  <c r="AM17" i="33" s="1"/>
  <c r="AI17" i="33"/>
  <c r="AK16" i="33"/>
  <c r="AM16" i="33" s="1"/>
  <c r="AI16" i="33"/>
  <c r="AK15" i="33"/>
  <c r="AM15" i="33" s="1"/>
  <c r="AI15" i="33"/>
  <c r="AK14" i="33"/>
  <c r="AM14" i="33" s="1"/>
  <c r="AI14" i="33"/>
  <c r="AK13" i="33"/>
  <c r="AM13" i="33" s="1"/>
  <c r="AI13" i="33"/>
  <c r="AK12" i="33"/>
  <c r="AM12" i="33" s="1"/>
  <c r="AI12" i="33"/>
  <c r="AK11" i="33"/>
  <c r="AI11" i="33"/>
  <c r="AK10" i="33"/>
  <c r="AM10" i="33" s="1"/>
  <c r="AI10" i="33"/>
  <c r="AK9" i="33"/>
  <c r="AM9" i="33" s="1"/>
  <c r="AI9" i="33"/>
  <c r="AK8" i="33"/>
  <c r="AM8" i="33" s="1"/>
  <c r="AI8" i="33"/>
  <c r="AK7" i="33"/>
  <c r="AM7" i="33" s="1"/>
  <c r="AI7" i="33"/>
  <c r="AK6" i="33"/>
  <c r="AM6" i="33" s="1"/>
  <c r="AI6" i="33"/>
  <c r="AK5" i="33"/>
  <c r="AM5" i="33" s="1"/>
  <c r="AI5" i="33"/>
  <c r="AK4" i="33"/>
  <c r="AM4" i="33" s="1"/>
  <c r="AI4" i="33"/>
  <c r="AM3" i="33"/>
  <c r="AI3" i="33"/>
  <c r="AD26" i="1"/>
  <c r="AD25" i="1"/>
  <c r="AH27" i="32"/>
  <c r="AH26" i="32" s="1"/>
  <c r="AG27" i="32"/>
  <c r="AG26" i="32" s="1"/>
  <c r="AF27" i="32"/>
  <c r="AF26" i="32" s="1"/>
  <c r="AE27" i="32"/>
  <c r="AE26" i="32" s="1"/>
  <c r="AD27" i="32"/>
  <c r="AC27" i="32"/>
  <c r="AC26" i="32" s="1"/>
  <c r="AB27" i="32"/>
  <c r="AB26" i="32" s="1"/>
  <c r="AA27" i="32"/>
  <c r="AA26" i="32" s="1"/>
  <c r="Z27" i="32"/>
  <c r="Z26" i="32" s="1"/>
  <c r="Y27" i="32"/>
  <c r="Y26" i="32" s="1"/>
  <c r="X27" i="32"/>
  <c r="W27" i="32"/>
  <c r="W26" i="32" s="1"/>
  <c r="V27" i="32"/>
  <c r="V26" i="32" s="1"/>
  <c r="U27" i="32"/>
  <c r="U26" i="32" s="1"/>
  <c r="T27" i="32"/>
  <c r="T26" i="32" s="1"/>
  <c r="S27" i="32"/>
  <c r="S26" i="32" s="1"/>
  <c r="R27" i="32"/>
  <c r="Q27" i="32"/>
  <c r="Q26" i="32" s="1"/>
  <c r="P27" i="32"/>
  <c r="O27" i="32"/>
  <c r="O26" i="32" s="1"/>
  <c r="N27" i="32"/>
  <c r="N26" i="32" s="1"/>
  <c r="M27" i="32"/>
  <c r="M26" i="32" s="1"/>
  <c r="L27" i="32"/>
  <c r="K27" i="32"/>
  <c r="K26" i="32" s="1"/>
  <c r="J27" i="32"/>
  <c r="J26" i="32" s="1"/>
  <c r="I27" i="32"/>
  <c r="I26" i="32" s="1"/>
  <c r="H27" i="32"/>
  <c r="H26" i="32" s="1"/>
  <c r="G27" i="32"/>
  <c r="G26" i="32" s="1"/>
  <c r="F27" i="32"/>
  <c r="F26" i="32" s="1"/>
  <c r="E27" i="32"/>
  <c r="D27" i="32"/>
  <c r="AD26" i="32"/>
  <c r="X26" i="32"/>
  <c r="R26" i="32"/>
  <c r="P26" i="32"/>
  <c r="L26" i="32"/>
  <c r="E26" i="32"/>
  <c r="D26" i="32"/>
  <c r="AJ25" i="32"/>
  <c r="AH24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AM23" i="32"/>
  <c r="AK23" i="32"/>
  <c r="AL23" i="32" s="1"/>
  <c r="AI23" i="32"/>
  <c r="AK18" i="32"/>
  <c r="AM18" i="32" s="1"/>
  <c r="AI18" i="32"/>
  <c r="AK19" i="32"/>
  <c r="AM19" i="32" s="1"/>
  <c r="AI19" i="32"/>
  <c r="AK12" i="32"/>
  <c r="AM12" i="32" s="1"/>
  <c r="AI12" i="32"/>
  <c r="AK10" i="32"/>
  <c r="AM10" i="32" s="1"/>
  <c r="AI10" i="32"/>
  <c r="AK17" i="32"/>
  <c r="AM17" i="32" s="1"/>
  <c r="AI17" i="32"/>
  <c r="AK14" i="32"/>
  <c r="AM14" i="32" s="1"/>
  <c r="AI14" i="32"/>
  <c r="AK11" i="32"/>
  <c r="AM11" i="32" s="1"/>
  <c r="AI11" i="32"/>
  <c r="AK15" i="32"/>
  <c r="AM15" i="32" s="1"/>
  <c r="AI15" i="32"/>
  <c r="AK9" i="32"/>
  <c r="AM9" i="32" s="1"/>
  <c r="AI9" i="32"/>
  <c r="AK6" i="32"/>
  <c r="AM6" i="32" s="1"/>
  <c r="AI6" i="32"/>
  <c r="AK8" i="32"/>
  <c r="AM8" i="32" s="1"/>
  <c r="AI8" i="32"/>
  <c r="AK13" i="32"/>
  <c r="AI13" i="32"/>
  <c r="AK4" i="32"/>
  <c r="AM4" i="32" s="1"/>
  <c r="AI4" i="32"/>
  <c r="AK7" i="32"/>
  <c r="AM7" i="32" s="1"/>
  <c r="AI7" i="32"/>
  <c r="AK16" i="32"/>
  <c r="AM16" i="32" s="1"/>
  <c r="AI16" i="32"/>
  <c r="AK3" i="32"/>
  <c r="AM3" i="32" s="1"/>
  <c r="AI3" i="32"/>
  <c r="AK5" i="32"/>
  <c r="AM5" i="32" s="1"/>
  <c r="AI5" i="32"/>
  <c r="AK22" i="32"/>
  <c r="AM22" i="32" s="1"/>
  <c r="AI22" i="32"/>
  <c r="AK21" i="32"/>
  <c r="AM21" i="32" s="1"/>
  <c r="AI21" i="32"/>
  <c r="AK20" i="32"/>
  <c r="AM20" i="32" s="1"/>
  <c r="AI20" i="32"/>
  <c r="AC26" i="1"/>
  <c r="AB26" i="1"/>
  <c r="AC25" i="1"/>
  <c r="AC27" i="1" s="1"/>
  <c r="AB25" i="1"/>
  <c r="AB27" i="1" s="1"/>
  <c r="K5" i="1"/>
  <c r="AL3" i="34" l="1"/>
  <c r="AK25" i="34"/>
  <c r="AL24" i="34"/>
  <c r="AK25" i="33"/>
  <c r="AL3" i="33"/>
  <c r="AL4" i="33"/>
  <c r="AL5" i="33"/>
  <c r="AK24" i="33"/>
  <c r="AL24" i="33" s="1"/>
  <c r="AL10" i="32"/>
  <c r="AL15" i="32"/>
  <c r="AL6" i="32"/>
  <c r="AL19" i="32"/>
  <c r="AL14" i="32"/>
  <c r="AL8" i="32"/>
  <c r="AL11" i="32"/>
  <c r="AL12" i="32"/>
  <c r="AL9" i="32"/>
  <c r="AL17" i="32"/>
  <c r="AL18" i="32"/>
  <c r="AK25" i="32"/>
  <c r="AL20" i="32"/>
  <c r="AL21" i="32"/>
  <c r="AL22" i="32"/>
  <c r="AL5" i="32"/>
  <c r="AL3" i="32"/>
  <c r="AL16" i="32"/>
  <c r="AL7" i="32"/>
  <c r="AL4" i="32"/>
  <c r="AA26" i="1"/>
  <c r="AA25" i="1"/>
  <c r="AK7" i="30"/>
  <c r="AK8" i="30"/>
  <c r="AK9" i="30"/>
  <c r="AK10" i="30"/>
  <c r="AK11" i="30"/>
  <c r="AK12" i="30"/>
  <c r="AK13" i="30"/>
  <c r="AK14" i="30"/>
  <c r="AK15" i="30"/>
  <c r="AK16" i="30"/>
  <c r="AK17" i="30"/>
  <c r="AK18" i="30"/>
  <c r="AK19" i="30"/>
  <c r="AK20" i="30"/>
  <c r="AK21" i="30"/>
  <c r="AK22" i="30"/>
  <c r="AK23" i="30"/>
  <c r="AK3" i="30"/>
  <c r="AK4" i="30"/>
  <c r="AK5" i="30"/>
  <c r="AK6" i="30"/>
  <c r="AK3" i="24" l="1"/>
  <c r="AK4" i="24"/>
  <c r="AK5" i="24"/>
  <c r="AK6" i="24"/>
  <c r="AK7" i="24"/>
  <c r="AK8" i="24"/>
  <c r="AK9" i="24"/>
  <c r="AK10" i="24"/>
  <c r="AK11" i="24"/>
  <c r="AK12" i="24"/>
  <c r="AK13" i="24"/>
  <c r="AK14" i="24"/>
  <c r="AK15" i="24"/>
  <c r="AK16" i="24"/>
  <c r="AK17" i="24"/>
  <c r="AK18" i="24"/>
  <c r="AK19" i="24"/>
  <c r="AK20" i="24"/>
  <c r="AK21" i="24"/>
  <c r="AK24" i="24"/>
  <c r="AK23" i="29"/>
  <c r="AK24" i="29"/>
  <c r="AK21" i="29"/>
  <c r="AK22" i="29"/>
  <c r="AK3" i="29"/>
  <c r="AK7" i="29"/>
  <c r="AK19" i="29"/>
  <c r="AK10" i="29"/>
  <c r="AK9" i="29"/>
  <c r="AK17" i="29"/>
  <c r="AK14" i="29"/>
  <c r="AK5" i="29"/>
  <c r="AK6" i="29"/>
  <c r="AK13" i="29"/>
  <c r="AK4" i="29"/>
  <c r="AK18" i="29"/>
  <c r="AK8" i="29"/>
  <c r="AK11" i="29"/>
  <c r="AK12" i="29"/>
  <c r="AK16" i="29"/>
  <c r="AK15" i="29"/>
  <c r="AH27" i="30" l="1"/>
  <c r="AH26" i="30" s="1"/>
  <c r="AG27" i="30"/>
  <c r="AG26" i="30" s="1"/>
  <c r="AF27" i="30"/>
  <c r="AF26" i="30" s="1"/>
  <c r="AE27" i="30"/>
  <c r="AE26" i="30" s="1"/>
  <c r="AD27" i="30"/>
  <c r="AD26" i="30" s="1"/>
  <c r="AC27" i="30"/>
  <c r="AC26" i="30" s="1"/>
  <c r="AB27" i="30"/>
  <c r="AB26" i="30" s="1"/>
  <c r="AA27" i="30"/>
  <c r="AA26" i="30" s="1"/>
  <c r="Z27" i="30"/>
  <c r="Y27" i="30"/>
  <c r="Y26" i="30" s="1"/>
  <c r="X27" i="30"/>
  <c r="X26" i="30" s="1"/>
  <c r="W27" i="30"/>
  <c r="W26" i="30" s="1"/>
  <c r="V27" i="30"/>
  <c r="U27" i="30"/>
  <c r="T27" i="30"/>
  <c r="T26" i="30" s="1"/>
  <c r="S27" i="30"/>
  <c r="S26" i="30" s="1"/>
  <c r="R27" i="30"/>
  <c r="Q27" i="30"/>
  <c r="Q26" i="30" s="1"/>
  <c r="P27" i="30"/>
  <c r="P26" i="30" s="1"/>
  <c r="O27" i="30"/>
  <c r="O26" i="30" s="1"/>
  <c r="N27" i="30"/>
  <c r="M27" i="30"/>
  <c r="M26" i="30" s="1"/>
  <c r="L27" i="30"/>
  <c r="L26" i="30" s="1"/>
  <c r="K27" i="30"/>
  <c r="K26" i="30" s="1"/>
  <c r="J27" i="30"/>
  <c r="J26" i="30" s="1"/>
  <c r="I27" i="30"/>
  <c r="I26" i="30" s="1"/>
  <c r="H27" i="30"/>
  <c r="H26" i="30" s="1"/>
  <c r="G27" i="30"/>
  <c r="G26" i="30" s="1"/>
  <c r="F27" i="30"/>
  <c r="E27" i="30"/>
  <c r="E26" i="30" s="1"/>
  <c r="D27" i="30"/>
  <c r="D26" i="30" s="1"/>
  <c r="Z26" i="30"/>
  <c r="V26" i="30"/>
  <c r="U26" i="30"/>
  <c r="R26" i="30"/>
  <c r="N26" i="30"/>
  <c r="F26" i="30"/>
  <c r="AJ25" i="30"/>
  <c r="AJ24" i="30"/>
  <c r="AH24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AL23" i="30"/>
  <c r="AM23" i="30"/>
  <c r="AI23" i="30"/>
  <c r="AL22" i="30"/>
  <c r="AI22" i="30"/>
  <c r="AL21" i="30"/>
  <c r="AI21" i="30"/>
  <c r="AM20" i="30"/>
  <c r="AI20" i="30"/>
  <c r="AM19" i="30"/>
  <c r="AI19" i="30"/>
  <c r="AM18" i="30"/>
  <c r="AI18" i="30"/>
  <c r="AM17" i="30"/>
  <c r="AI17" i="30"/>
  <c r="AM16" i="30"/>
  <c r="AI16" i="30"/>
  <c r="AM15" i="30"/>
  <c r="AI15" i="30"/>
  <c r="AM14" i="30"/>
  <c r="AI14" i="30"/>
  <c r="AM13" i="30"/>
  <c r="AI13" i="30"/>
  <c r="AM12" i="30"/>
  <c r="AI12" i="30"/>
  <c r="AI11" i="30"/>
  <c r="AM10" i="30"/>
  <c r="AI10" i="30"/>
  <c r="AM9" i="30"/>
  <c r="AI9" i="30"/>
  <c r="AM8" i="30"/>
  <c r="AI8" i="30"/>
  <c r="AM7" i="30"/>
  <c r="AI7" i="30"/>
  <c r="AM6" i="30"/>
  <c r="AI6" i="30"/>
  <c r="AM5" i="30"/>
  <c r="AI5" i="30"/>
  <c r="AM4" i="30"/>
  <c r="AI4" i="30"/>
  <c r="AM3" i="30"/>
  <c r="AI3" i="30"/>
  <c r="E40" i="26"/>
  <c r="AM21" i="30" l="1"/>
  <c r="AM22" i="30"/>
  <c r="AL20" i="30"/>
  <c r="AL19" i="30"/>
  <c r="AL18" i="30"/>
  <c r="AL12" i="30"/>
  <c r="AL13" i="30"/>
  <c r="AL14" i="30"/>
  <c r="AL15" i="30"/>
  <c r="AL16" i="30"/>
  <c r="AL17" i="30"/>
  <c r="AK25" i="30"/>
  <c r="AL4" i="30"/>
  <c r="AL7" i="30"/>
  <c r="AL10" i="30"/>
  <c r="AK24" i="30"/>
  <c r="AL24" i="30" s="1"/>
  <c r="AL3" i="30"/>
  <c r="AL5" i="30"/>
  <c r="AL6" i="30"/>
  <c r="AL8" i="30"/>
  <c r="AL9" i="30"/>
  <c r="AL24" i="24"/>
  <c r="G61" i="26" l="1"/>
  <c r="G62" i="26"/>
  <c r="G63" i="26"/>
  <c r="G60" i="26"/>
  <c r="G554" i="26"/>
  <c r="G523" i="26"/>
  <c r="G492" i="26"/>
  <c r="G461" i="26"/>
  <c r="G430" i="26"/>
  <c r="G399" i="26"/>
  <c r="G368" i="26"/>
  <c r="G337" i="26"/>
  <c r="G306" i="26"/>
  <c r="G275" i="26"/>
  <c r="G244" i="26"/>
  <c r="G213" i="26"/>
  <c r="G182" i="26"/>
  <c r="G151" i="26"/>
  <c r="G120" i="26"/>
  <c r="E553" i="26"/>
  <c r="G553" i="26" s="1"/>
  <c r="E552" i="26"/>
  <c r="F552" i="26" s="1"/>
  <c r="E551" i="26"/>
  <c r="G551" i="26" s="1"/>
  <c r="E550" i="26"/>
  <c r="G550" i="26" s="1"/>
  <c r="E549" i="26"/>
  <c r="G549" i="26" s="1"/>
  <c r="E548" i="26"/>
  <c r="F548" i="26" s="1"/>
  <c r="E547" i="26"/>
  <c r="G547" i="26" s="1"/>
  <c r="E546" i="26"/>
  <c r="G546" i="26" s="1"/>
  <c r="E545" i="26"/>
  <c r="G545" i="26" s="1"/>
  <c r="E544" i="26"/>
  <c r="G544" i="26" s="1"/>
  <c r="E543" i="26"/>
  <c r="G543" i="26" s="1"/>
  <c r="E542" i="26"/>
  <c r="G542" i="26" s="1"/>
  <c r="E541" i="26"/>
  <c r="G541" i="26" s="1"/>
  <c r="E540" i="26"/>
  <c r="F540" i="26" s="1"/>
  <c r="E539" i="26"/>
  <c r="G539" i="26" s="1"/>
  <c r="E538" i="26"/>
  <c r="G538" i="26" s="1"/>
  <c r="E537" i="26"/>
  <c r="G537" i="26" s="1"/>
  <c r="E536" i="26"/>
  <c r="F536" i="26" s="1"/>
  <c r="E535" i="26"/>
  <c r="G535" i="26" s="1"/>
  <c r="E534" i="26"/>
  <c r="G534" i="26" s="1"/>
  <c r="E533" i="26"/>
  <c r="G533" i="26" s="1"/>
  <c r="E532" i="26"/>
  <c r="F532" i="26" s="1"/>
  <c r="E531" i="26"/>
  <c r="G531" i="26" s="1"/>
  <c r="E530" i="26"/>
  <c r="G530" i="26" s="1"/>
  <c r="E529" i="26"/>
  <c r="G529" i="26" s="1"/>
  <c r="G528" i="26"/>
  <c r="F528" i="26"/>
  <c r="G527" i="26"/>
  <c r="F527" i="26"/>
  <c r="G526" i="26"/>
  <c r="F526" i="26"/>
  <c r="G525" i="26"/>
  <c r="F525" i="26"/>
  <c r="E522" i="26"/>
  <c r="G522" i="26" s="1"/>
  <c r="E521" i="26"/>
  <c r="F521" i="26" s="1"/>
  <c r="E520" i="26"/>
  <c r="G520" i="26" s="1"/>
  <c r="E519" i="26"/>
  <c r="G519" i="26" s="1"/>
  <c r="E518" i="26"/>
  <c r="G518" i="26" s="1"/>
  <c r="E517" i="26"/>
  <c r="F517" i="26" s="1"/>
  <c r="E516" i="26"/>
  <c r="F516" i="26" s="1"/>
  <c r="E515" i="26"/>
  <c r="G515" i="26" s="1"/>
  <c r="E514" i="26"/>
  <c r="G514" i="26" s="1"/>
  <c r="E513" i="26"/>
  <c r="F513" i="26" s="1"/>
  <c r="E512" i="26"/>
  <c r="G512" i="26" s="1"/>
  <c r="E511" i="26"/>
  <c r="G511" i="26" s="1"/>
  <c r="E510" i="26"/>
  <c r="G510" i="26" s="1"/>
  <c r="E509" i="26"/>
  <c r="F509" i="26" s="1"/>
  <c r="E508" i="26"/>
  <c r="F508" i="26" s="1"/>
  <c r="E507" i="26"/>
  <c r="G507" i="26" s="1"/>
  <c r="E506" i="26"/>
  <c r="G506" i="26" s="1"/>
  <c r="E505" i="26"/>
  <c r="F505" i="26" s="1"/>
  <c r="E504" i="26"/>
  <c r="G504" i="26" s="1"/>
  <c r="E503" i="26"/>
  <c r="G503" i="26" s="1"/>
  <c r="E502" i="26"/>
  <c r="G502" i="26" s="1"/>
  <c r="E501" i="26"/>
  <c r="F501" i="26" s="1"/>
  <c r="E500" i="26"/>
  <c r="F500" i="26" s="1"/>
  <c r="E499" i="26"/>
  <c r="G499" i="26" s="1"/>
  <c r="E498" i="26"/>
  <c r="G498" i="26" s="1"/>
  <c r="G497" i="26"/>
  <c r="F497" i="26"/>
  <c r="G496" i="26"/>
  <c r="F496" i="26"/>
  <c r="G495" i="26"/>
  <c r="F495" i="26"/>
  <c r="G494" i="26"/>
  <c r="F494" i="26"/>
  <c r="E491" i="26"/>
  <c r="G491" i="26" s="1"/>
  <c r="E490" i="26"/>
  <c r="F490" i="26" s="1"/>
  <c r="E489" i="26"/>
  <c r="F489" i="26" s="1"/>
  <c r="E488" i="26"/>
  <c r="G488" i="26" s="1"/>
  <c r="E487" i="26"/>
  <c r="G487" i="26" s="1"/>
  <c r="E486" i="26"/>
  <c r="F486" i="26" s="1"/>
  <c r="E485" i="26"/>
  <c r="G485" i="26" s="1"/>
  <c r="E484" i="26"/>
  <c r="G484" i="26" s="1"/>
  <c r="E483" i="26"/>
  <c r="G483" i="26" s="1"/>
  <c r="E482" i="26"/>
  <c r="F482" i="26" s="1"/>
  <c r="E481" i="26"/>
  <c r="G481" i="26" s="1"/>
  <c r="E480" i="26"/>
  <c r="G480" i="26" s="1"/>
  <c r="E479" i="26"/>
  <c r="G479" i="26" s="1"/>
  <c r="E478" i="26"/>
  <c r="F478" i="26" s="1"/>
  <c r="E477" i="26"/>
  <c r="F477" i="26" s="1"/>
  <c r="E476" i="26"/>
  <c r="G476" i="26" s="1"/>
  <c r="E475" i="26"/>
  <c r="G475" i="26" s="1"/>
  <c r="E474" i="26"/>
  <c r="F474" i="26" s="1"/>
  <c r="E473" i="26"/>
  <c r="G473" i="26" s="1"/>
  <c r="E472" i="26"/>
  <c r="G472" i="26" s="1"/>
  <c r="E471" i="26"/>
  <c r="G471" i="26" s="1"/>
  <c r="E470" i="26"/>
  <c r="F470" i="26" s="1"/>
  <c r="E469" i="26"/>
  <c r="G469" i="26" s="1"/>
  <c r="E468" i="26"/>
  <c r="G468" i="26" s="1"/>
  <c r="E467" i="26"/>
  <c r="G467" i="26" s="1"/>
  <c r="G466" i="26"/>
  <c r="F466" i="26"/>
  <c r="G465" i="26"/>
  <c r="F465" i="26"/>
  <c r="G464" i="26"/>
  <c r="F464" i="26"/>
  <c r="G463" i="26"/>
  <c r="F463" i="26"/>
  <c r="E460" i="26"/>
  <c r="G460" i="26" s="1"/>
  <c r="E459" i="26"/>
  <c r="F459" i="26" s="1"/>
  <c r="E458" i="26"/>
  <c r="G458" i="26" s="1"/>
  <c r="E457" i="26"/>
  <c r="G457" i="26" s="1"/>
  <c r="E456" i="26"/>
  <c r="G456" i="26" s="1"/>
  <c r="E455" i="26"/>
  <c r="F455" i="26" s="1"/>
  <c r="E454" i="26"/>
  <c r="G454" i="26" s="1"/>
  <c r="E453" i="26"/>
  <c r="G453" i="26" s="1"/>
  <c r="E452" i="26"/>
  <c r="G452" i="26" s="1"/>
  <c r="E451" i="26"/>
  <c r="F451" i="26" s="1"/>
  <c r="E450" i="26"/>
  <c r="F450" i="26" s="1"/>
  <c r="E449" i="26"/>
  <c r="G449" i="26" s="1"/>
  <c r="E448" i="26"/>
  <c r="G448" i="26" s="1"/>
  <c r="E447" i="26"/>
  <c r="F447" i="26" s="1"/>
  <c r="E446" i="26"/>
  <c r="G446" i="26" s="1"/>
  <c r="E445" i="26"/>
  <c r="G445" i="26" s="1"/>
  <c r="E444" i="26"/>
  <c r="G444" i="26" s="1"/>
  <c r="E443" i="26"/>
  <c r="F443" i="26" s="1"/>
  <c r="E442" i="26"/>
  <c r="G442" i="26" s="1"/>
  <c r="E441" i="26"/>
  <c r="G441" i="26" s="1"/>
  <c r="E440" i="26"/>
  <c r="G440" i="26" s="1"/>
  <c r="E439" i="26"/>
  <c r="F439" i="26" s="1"/>
  <c r="E438" i="26"/>
  <c r="G438" i="26" s="1"/>
  <c r="E437" i="26"/>
  <c r="G437" i="26" s="1"/>
  <c r="E436" i="26"/>
  <c r="G436" i="26" s="1"/>
  <c r="G435" i="26"/>
  <c r="F435" i="26"/>
  <c r="G434" i="26"/>
  <c r="F434" i="26"/>
  <c r="G433" i="26"/>
  <c r="F433" i="26"/>
  <c r="G432" i="26"/>
  <c r="F432" i="26"/>
  <c r="E429" i="26"/>
  <c r="G429" i="26" s="1"/>
  <c r="E428" i="26"/>
  <c r="F428" i="26" s="1"/>
  <c r="E427" i="26"/>
  <c r="F427" i="26" s="1"/>
  <c r="E426" i="26"/>
  <c r="G426" i="26" s="1"/>
  <c r="E425" i="26"/>
  <c r="G425" i="26" s="1"/>
  <c r="E424" i="26"/>
  <c r="F424" i="26" s="1"/>
  <c r="E423" i="26"/>
  <c r="F423" i="26" s="1"/>
  <c r="E422" i="26"/>
  <c r="G422" i="26" s="1"/>
  <c r="E421" i="26"/>
  <c r="G421" i="26" s="1"/>
  <c r="E420" i="26"/>
  <c r="F420" i="26" s="1"/>
  <c r="E419" i="26"/>
  <c r="G419" i="26" s="1"/>
  <c r="E418" i="26"/>
  <c r="G418" i="26" s="1"/>
  <c r="E417" i="26"/>
  <c r="G417" i="26" s="1"/>
  <c r="E416" i="26"/>
  <c r="F416" i="26" s="1"/>
  <c r="E415" i="26"/>
  <c r="G415" i="26" s="1"/>
  <c r="E414" i="26"/>
  <c r="G414" i="26" s="1"/>
  <c r="E413" i="26"/>
  <c r="G413" i="26" s="1"/>
  <c r="E412" i="26"/>
  <c r="F412" i="26" s="1"/>
  <c r="E411" i="26"/>
  <c r="G411" i="26" s="1"/>
  <c r="E410" i="26"/>
  <c r="G410" i="26" s="1"/>
  <c r="E409" i="26"/>
  <c r="G409" i="26" s="1"/>
  <c r="E408" i="26"/>
  <c r="F408" i="26" s="1"/>
  <c r="E407" i="26"/>
  <c r="F407" i="26" s="1"/>
  <c r="E406" i="26"/>
  <c r="G406" i="26" s="1"/>
  <c r="E405" i="26"/>
  <c r="G405" i="26" s="1"/>
  <c r="G404" i="26"/>
  <c r="F404" i="26"/>
  <c r="G403" i="26"/>
  <c r="F403" i="26"/>
  <c r="G402" i="26"/>
  <c r="F402" i="26"/>
  <c r="G401" i="26"/>
  <c r="F401" i="26"/>
  <c r="E398" i="26"/>
  <c r="G398" i="26" s="1"/>
  <c r="E397" i="26"/>
  <c r="F397" i="26" s="1"/>
  <c r="E396" i="26"/>
  <c r="G396" i="26" s="1"/>
  <c r="E395" i="26"/>
  <c r="G395" i="26" s="1"/>
  <c r="E394" i="26"/>
  <c r="G394" i="26" s="1"/>
  <c r="E393" i="26"/>
  <c r="F393" i="26" s="1"/>
  <c r="E392" i="26"/>
  <c r="G392" i="26" s="1"/>
  <c r="E391" i="26"/>
  <c r="G391" i="26" s="1"/>
  <c r="E390" i="26"/>
  <c r="G390" i="26" s="1"/>
  <c r="E389" i="26"/>
  <c r="F389" i="26" s="1"/>
  <c r="E388" i="26"/>
  <c r="G388" i="26" s="1"/>
  <c r="E387" i="26"/>
  <c r="G387" i="26" s="1"/>
  <c r="E386" i="26"/>
  <c r="G386" i="26" s="1"/>
  <c r="E385" i="26"/>
  <c r="F385" i="26" s="1"/>
  <c r="E384" i="26"/>
  <c r="F384" i="26" s="1"/>
  <c r="E383" i="26"/>
  <c r="G383" i="26" s="1"/>
  <c r="E382" i="26"/>
  <c r="G382" i="26" s="1"/>
  <c r="E381" i="26"/>
  <c r="F381" i="26" s="1"/>
  <c r="E380" i="26"/>
  <c r="G380" i="26" s="1"/>
  <c r="E379" i="26"/>
  <c r="G379" i="26" s="1"/>
  <c r="E378" i="26"/>
  <c r="G378" i="26" s="1"/>
  <c r="E377" i="26"/>
  <c r="F377" i="26" s="1"/>
  <c r="E376" i="26"/>
  <c r="G376" i="26" s="1"/>
  <c r="E375" i="26"/>
  <c r="G375" i="26" s="1"/>
  <c r="E374" i="26"/>
  <c r="G374" i="26" s="1"/>
  <c r="G373" i="26"/>
  <c r="F373" i="26"/>
  <c r="G372" i="26"/>
  <c r="F372" i="26"/>
  <c r="G371" i="26"/>
  <c r="F371" i="26"/>
  <c r="G370" i="26"/>
  <c r="F370" i="26"/>
  <c r="E367" i="26"/>
  <c r="F367" i="26" s="1"/>
  <c r="E366" i="26"/>
  <c r="G366" i="26" s="1"/>
  <c r="E365" i="26"/>
  <c r="G365" i="26" s="1"/>
  <c r="E364" i="26"/>
  <c r="G364" i="26" s="1"/>
  <c r="E363" i="26"/>
  <c r="F363" i="26" s="1"/>
  <c r="E362" i="26"/>
  <c r="G362" i="26" s="1"/>
  <c r="E361" i="26"/>
  <c r="G361" i="26" s="1"/>
  <c r="E360" i="26"/>
  <c r="G360" i="26" s="1"/>
  <c r="E359" i="26"/>
  <c r="F359" i="26" s="1"/>
  <c r="E358" i="26"/>
  <c r="G358" i="26" s="1"/>
  <c r="E357" i="26"/>
  <c r="G357" i="26" s="1"/>
  <c r="E356" i="26"/>
  <c r="G356" i="26" s="1"/>
  <c r="E355" i="26"/>
  <c r="F355" i="26" s="1"/>
  <c r="E354" i="26"/>
  <c r="G354" i="26" s="1"/>
  <c r="E353" i="26"/>
  <c r="G353" i="26" s="1"/>
  <c r="E352" i="26"/>
  <c r="G352" i="26" s="1"/>
  <c r="E351" i="26"/>
  <c r="F351" i="26" s="1"/>
  <c r="E350" i="26"/>
  <c r="G350" i="26" s="1"/>
  <c r="E349" i="26"/>
  <c r="G349" i="26" s="1"/>
  <c r="E348" i="26"/>
  <c r="G348" i="26" s="1"/>
  <c r="E347" i="26"/>
  <c r="F347" i="26" s="1"/>
  <c r="E346" i="26"/>
  <c r="G346" i="26" s="1"/>
  <c r="E345" i="26"/>
  <c r="G345" i="26" s="1"/>
  <c r="E344" i="26"/>
  <c r="G344" i="26" s="1"/>
  <c r="E343" i="26"/>
  <c r="F343" i="26" s="1"/>
  <c r="G342" i="26"/>
  <c r="F342" i="26"/>
  <c r="G341" i="26"/>
  <c r="F341" i="26"/>
  <c r="G340" i="26"/>
  <c r="F340" i="26"/>
  <c r="G339" i="26"/>
  <c r="F339" i="26"/>
  <c r="E336" i="26"/>
  <c r="G336" i="26" s="1"/>
  <c r="E335" i="26"/>
  <c r="F335" i="26" s="1"/>
  <c r="E334" i="26"/>
  <c r="G334" i="26" s="1"/>
  <c r="E333" i="26"/>
  <c r="G333" i="26" s="1"/>
  <c r="E332" i="26"/>
  <c r="G332" i="26" s="1"/>
  <c r="E331" i="26"/>
  <c r="F331" i="26" s="1"/>
  <c r="E330" i="26"/>
  <c r="G330" i="26" s="1"/>
  <c r="E329" i="26"/>
  <c r="G329" i="26" s="1"/>
  <c r="E328" i="26"/>
  <c r="G328" i="26" s="1"/>
  <c r="E327" i="26"/>
  <c r="F327" i="26" s="1"/>
  <c r="E326" i="26"/>
  <c r="G326" i="26" s="1"/>
  <c r="E325" i="26"/>
  <c r="G325" i="26" s="1"/>
  <c r="E324" i="26"/>
  <c r="G324" i="26" s="1"/>
  <c r="E323" i="26"/>
  <c r="F323" i="26" s="1"/>
  <c r="E322" i="26"/>
  <c r="G322" i="26" s="1"/>
  <c r="E321" i="26"/>
  <c r="G321" i="26" s="1"/>
  <c r="E320" i="26"/>
  <c r="G320" i="26" s="1"/>
  <c r="E319" i="26"/>
  <c r="F319" i="26" s="1"/>
  <c r="E318" i="26"/>
  <c r="G318" i="26" s="1"/>
  <c r="E317" i="26"/>
  <c r="G317" i="26" s="1"/>
  <c r="E316" i="26"/>
  <c r="G316" i="26" s="1"/>
  <c r="E315" i="26"/>
  <c r="F315" i="26" s="1"/>
  <c r="E314" i="26"/>
  <c r="G314" i="26" s="1"/>
  <c r="E313" i="26"/>
  <c r="G313" i="26" s="1"/>
  <c r="E312" i="26"/>
  <c r="G312" i="26" s="1"/>
  <c r="G311" i="26"/>
  <c r="F311" i="26"/>
  <c r="G310" i="26"/>
  <c r="F310" i="26"/>
  <c r="G309" i="26"/>
  <c r="F309" i="26"/>
  <c r="G308" i="26"/>
  <c r="F308" i="26"/>
  <c r="E305" i="26"/>
  <c r="G305" i="26" s="1"/>
  <c r="E304" i="26"/>
  <c r="F304" i="26" s="1"/>
  <c r="E303" i="26"/>
  <c r="F303" i="26" s="1"/>
  <c r="E302" i="26"/>
  <c r="G302" i="26" s="1"/>
  <c r="E301" i="26"/>
  <c r="G301" i="26" s="1"/>
  <c r="E300" i="26"/>
  <c r="F300" i="26" s="1"/>
  <c r="E299" i="26"/>
  <c r="G299" i="26" s="1"/>
  <c r="E298" i="26"/>
  <c r="G298" i="26" s="1"/>
  <c r="E297" i="26"/>
  <c r="G297" i="26" s="1"/>
  <c r="E296" i="26"/>
  <c r="F296" i="26" s="1"/>
  <c r="E295" i="26"/>
  <c r="G295" i="26" s="1"/>
  <c r="E294" i="26"/>
  <c r="G294" i="26" s="1"/>
  <c r="E293" i="26"/>
  <c r="G293" i="26" s="1"/>
  <c r="E292" i="26"/>
  <c r="F292" i="26" s="1"/>
  <c r="E291" i="26"/>
  <c r="G291" i="26" s="1"/>
  <c r="E290" i="26"/>
  <c r="G290" i="26" s="1"/>
  <c r="E289" i="26"/>
  <c r="G289" i="26" s="1"/>
  <c r="E288" i="26"/>
  <c r="F288" i="26" s="1"/>
  <c r="E287" i="26"/>
  <c r="G287" i="26" s="1"/>
  <c r="E286" i="26"/>
  <c r="G286" i="26" s="1"/>
  <c r="E285" i="26"/>
  <c r="G285" i="26" s="1"/>
  <c r="E284" i="26"/>
  <c r="F284" i="26" s="1"/>
  <c r="E283" i="26"/>
  <c r="G283" i="26" s="1"/>
  <c r="E282" i="26"/>
  <c r="G282" i="26" s="1"/>
  <c r="E281" i="26"/>
  <c r="G281" i="26" s="1"/>
  <c r="G280" i="26"/>
  <c r="F280" i="26"/>
  <c r="G279" i="26"/>
  <c r="F279" i="26"/>
  <c r="G278" i="26"/>
  <c r="F278" i="26"/>
  <c r="G277" i="26"/>
  <c r="F277" i="26"/>
  <c r="E274" i="26"/>
  <c r="G274" i="26" s="1"/>
  <c r="E273" i="26"/>
  <c r="F273" i="26" s="1"/>
  <c r="E272" i="26"/>
  <c r="G272" i="26" s="1"/>
  <c r="E271" i="26"/>
  <c r="G271" i="26" s="1"/>
  <c r="E270" i="26"/>
  <c r="G270" i="26" s="1"/>
  <c r="E269" i="26"/>
  <c r="F269" i="26" s="1"/>
  <c r="E268" i="26"/>
  <c r="G268" i="26" s="1"/>
  <c r="E267" i="26"/>
  <c r="G267" i="26" s="1"/>
  <c r="E266" i="26"/>
  <c r="G266" i="26" s="1"/>
  <c r="E265" i="26"/>
  <c r="F265" i="26" s="1"/>
  <c r="E264" i="26"/>
  <c r="G264" i="26" s="1"/>
  <c r="E263" i="26"/>
  <c r="G263" i="26" s="1"/>
  <c r="E262" i="26"/>
  <c r="G262" i="26" s="1"/>
  <c r="E261" i="26"/>
  <c r="F261" i="26" s="1"/>
  <c r="E260" i="26"/>
  <c r="F260" i="26" s="1"/>
  <c r="E259" i="26"/>
  <c r="G259" i="26" s="1"/>
  <c r="E258" i="26"/>
  <c r="G258" i="26" s="1"/>
  <c r="E257" i="26"/>
  <c r="F257" i="26" s="1"/>
  <c r="E256" i="26"/>
  <c r="G256" i="26" s="1"/>
  <c r="E255" i="26"/>
  <c r="G255" i="26" s="1"/>
  <c r="E254" i="26"/>
  <c r="G254" i="26" s="1"/>
  <c r="E253" i="26"/>
  <c r="F253" i="26" s="1"/>
  <c r="E252" i="26"/>
  <c r="G252" i="26" s="1"/>
  <c r="E251" i="26"/>
  <c r="G251" i="26" s="1"/>
  <c r="E250" i="26"/>
  <c r="G250" i="26" s="1"/>
  <c r="G249" i="26"/>
  <c r="F249" i="26"/>
  <c r="G248" i="26"/>
  <c r="F248" i="26"/>
  <c r="G247" i="26"/>
  <c r="F247" i="26"/>
  <c r="G246" i="26"/>
  <c r="F246" i="26"/>
  <c r="E243" i="26"/>
  <c r="F243" i="26" s="1"/>
  <c r="E242" i="26"/>
  <c r="G242" i="26" s="1"/>
  <c r="E241" i="26"/>
  <c r="G241" i="26" s="1"/>
  <c r="E240" i="26"/>
  <c r="G240" i="26" s="1"/>
  <c r="E239" i="26"/>
  <c r="G239" i="26" s="1"/>
  <c r="E238" i="26"/>
  <c r="F238" i="26" s="1"/>
  <c r="E237" i="26"/>
  <c r="G237" i="26" s="1"/>
  <c r="E236" i="26"/>
  <c r="G236" i="26" s="1"/>
  <c r="E235" i="26"/>
  <c r="G235" i="26" s="1"/>
  <c r="E234" i="26"/>
  <c r="G234" i="26" s="1"/>
  <c r="E233" i="26"/>
  <c r="G233" i="26" s="1"/>
  <c r="E232" i="26"/>
  <c r="G232" i="26" s="1"/>
  <c r="E231" i="26"/>
  <c r="F231" i="26" s="1"/>
  <c r="E230" i="26"/>
  <c r="G230" i="26" s="1"/>
  <c r="E229" i="26"/>
  <c r="G229" i="26" s="1"/>
  <c r="E228" i="26"/>
  <c r="G228" i="26" s="1"/>
  <c r="E227" i="26"/>
  <c r="F227" i="26" s="1"/>
  <c r="E226" i="26"/>
  <c r="G226" i="26" s="1"/>
  <c r="E225" i="26"/>
  <c r="G225" i="26" s="1"/>
  <c r="E224" i="26"/>
  <c r="G224" i="26" s="1"/>
  <c r="E223" i="26"/>
  <c r="G223" i="26" s="1"/>
  <c r="E222" i="26"/>
  <c r="F222" i="26" s="1"/>
  <c r="E221" i="26"/>
  <c r="G221" i="26" s="1"/>
  <c r="E220" i="26"/>
  <c r="G220" i="26" s="1"/>
  <c r="E219" i="26"/>
  <c r="G219" i="26" s="1"/>
  <c r="G218" i="26"/>
  <c r="F218" i="26"/>
  <c r="G217" i="26"/>
  <c r="F217" i="26"/>
  <c r="G216" i="26"/>
  <c r="F216" i="26"/>
  <c r="G215" i="26"/>
  <c r="F215" i="26"/>
  <c r="E212" i="26"/>
  <c r="G212" i="26" s="1"/>
  <c r="E211" i="26"/>
  <c r="F211" i="26" s="1"/>
  <c r="E210" i="26"/>
  <c r="G210" i="26" s="1"/>
  <c r="E209" i="26"/>
  <c r="G209" i="26" s="1"/>
  <c r="E208" i="26"/>
  <c r="G208" i="26" s="1"/>
  <c r="E207" i="26"/>
  <c r="F207" i="26" s="1"/>
  <c r="E206" i="26"/>
  <c r="G206" i="26" s="1"/>
  <c r="E205" i="26"/>
  <c r="G205" i="26" s="1"/>
  <c r="E204" i="26"/>
  <c r="G204" i="26" s="1"/>
  <c r="E203" i="26"/>
  <c r="F203" i="26" s="1"/>
  <c r="E202" i="26"/>
  <c r="G202" i="26" s="1"/>
  <c r="E201" i="26"/>
  <c r="G201" i="26" s="1"/>
  <c r="E200" i="26"/>
  <c r="G200" i="26" s="1"/>
  <c r="E199" i="26"/>
  <c r="F199" i="26" s="1"/>
  <c r="E198" i="26"/>
  <c r="G198" i="26" s="1"/>
  <c r="E197" i="26"/>
  <c r="G197" i="26" s="1"/>
  <c r="E196" i="26"/>
  <c r="G196" i="26" s="1"/>
  <c r="E195" i="26"/>
  <c r="F195" i="26" s="1"/>
  <c r="E194" i="26"/>
  <c r="G194" i="26" s="1"/>
  <c r="E193" i="26"/>
  <c r="G193" i="26" s="1"/>
  <c r="E192" i="26"/>
  <c r="G192" i="26" s="1"/>
  <c r="E191" i="26"/>
  <c r="F191" i="26" s="1"/>
  <c r="E190" i="26"/>
  <c r="F190" i="26" s="1"/>
  <c r="E189" i="26"/>
  <c r="G189" i="26" s="1"/>
  <c r="E188" i="26"/>
  <c r="G188" i="26" s="1"/>
  <c r="G187" i="26"/>
  <c r="F187" i="26"/>
  <c r="G186" i="26"/>
  <c r="F186" i="26"/>
  <c r="G185" i="26"/>
  <c r="F185" i="26"/>
  <c r="G184" i="26"/>
  <c r="F184" i="26"/>
  <c r="E181" i="26"/>
  <c r="G181" i="26" s="1"/>
  <c r="E180" i="26"/>
  <c r="F180" i="26" s="1"/>
  <c r="E179" i="26"/>
  <c r="F179" i="26" s="1"/>
  <c r="E178" i="26"/>
  <c r="G178" i="26" s="1"/>
  <c r="E177" i="26"/>
  <c r="G177" i="26" s="1"/>
  <c r="E176" i="26"/>
  <c r="F176" i="26" s="1"/>
  <c r="E175" i="26"/>
  <c r="G175" i="26" s="1"/>
  <c r="E174" i="26"/>
  <c r="G174" i="26" s="1"/>
  <c r="E173" i="26"/>
  <c r="G173" i="26" s="1"/>
  <c r="E172" i="26"/>
  <c r="F172" i="26" s="1"/>
  <c r="E171" i="26"/>
  <c r="G171" i="26" s="1"/>
  <c r="E170" i="26"/>
  <c r="G170" i="26" s="1"/>
  <c r="E169" i="26"/>
  <c r="G169" i="26" s="1"/>
  <c r="E168" i="26"/>
  <c r="F168" i="26" s="1"/>
  <c r="E167" i="26"/>
  <c r="F167" i="26" s="1"/>
  <c r="E166" i="26"/>
  <c r="G166" i="26" s="1"/>
  <c r="E165" i="26"/>
  <c r="G165" i="26" s="1"/>
  <c r="E164" i="26"/>
  <c r="F164" i="26" s="1"/>
  <c r="E163" i="26"/>
  <c r="G163" i="26" s="1"/>
  <c r="E162" i="26"/>
  <c r="G162" i="26" s="1"/>
  <c r="E161" i="26"/>
  <c r="G161" i="26" s="1"/>
  <c r="E160" i="26"/>
  <c r="F160" i="26" s="1"/>
  <c r="E159" i="26"/>
  <c r="G159" i="26" s="1"/>
  <c r="E158" i="26"/>
  <c r="G158" i="26" s="1"/>
  <c r="E157" i="26"/>
  <c r="G157" i="26" s="1"/>
  <c r="G156" i="26"/>
  <c r="F156" i="26"/>
  <c r="G155" i="26"/>
  <c r="F155" i="26"/>
  <c r="G154" i="26"/>
  <c r="F154" i="26"/>
  <c r="G153" i="26"/>
  <c r="F153" i="26"/>
  <c r="G150" i="26"/>
  <c r="F149" i="26"/>
  <c r="G148" i="26"/>
  <c r="G147" i="26"/>
  <c r="G146" i="26"/>
  <c r="F145" i="26"/>
  <c r="G144" i="26"/>
  <c r="G143" i="26"/>
  <c r="G142" i="26"/>
  <c r="F141" i="26"/>
  <c r="G140" i="26"/>
  <c r="G139" i="26"/>
  <c r="G138" i="26"/>
  <c r="F137" i="26"/>
  <c r="F136" i="26"/>
  <c r="G135" i="26"/>
  <c r="G134" i="26"/>
  <c r="E133" i="26"/>
  <c r="F133" i="26" s="1"/>
  <c r="G132" i="26"/>
  <c r="G131" i="26"/>
  <c r="G130" i="26"/>
  <c r="F129" i="26"/>
  <c r="G128" i="26"/>
  <c r="G127" i="26"/>
  <c r="G126" i="26"/>
  <c r="G125" i="26"/>
  <c r="F125" i="26"/>
  <c r="G124" i="26"/>
  <c r="F124" i="26"/>
  <c r="G123" i="26"/>
  <c r="F123" i="26"/>
  <c r="G122" i="26"/>
  <c r="F122" i="26"/>
  <c r="G119" i="26"/>
  <c r="F118" i="26"/>
  <c r="G117" i="26"/>
  <c r="G116" i="26"/>
  <c r="G115" i="26"/>
  <c r="F114" i="26"/>
  <c r="G113" i="26"/>
  <c r="G112" i="26"/>
  <c r="G111" i="26"/>
  <c r="F110" i="26"/>
  <c r="G109" i="26"/>
  <c r="G108" i="26"/>
  <c r="G107" i="26"/>
  <c r="F106" i="26"/>
  <c r="F105" i="26"/>
  <c r="G104" i="26"/>
  <c r="G103" i="26"/>
  <c r="E102" i="26"/>
  <c r="F102" i="26" s="1"/>
  <c r="F120" i="26" s="1"/>
  <c r="K5" i="26" s="1"/>
  <c r="G101" i="26"/>
  <c r="G100" i="26"/>
  <c r="G99" i="26"/>
  <c r="F98" i="26"/>
  <c r="G97" i="26"/>
  <c r="G96" i="26"/>
  <c r="G95" i="26"/>
  <c r="G94" i="26"/>
  <c r="F94" i="26"/>
  <c r="G93" i="26"/>
  <c r="F93" i="26"/>
  <c r="G92" i="26"/>
  <c r="F92" i="26"/>
  <c r="G91" i="26"/>
  <c r="F91" i="26"/>
  <c r="F87" i="26"/>
  <c r="G87" i="26" s="1"/>
  <c r="F84" i="26"/>
  <c r="G84" i="26" s="1"/>
  <c r="F83" i="26"/>
  <c r="G83" i="26" s="1"/>
  <c r="F80" i="26"/>
  <c r="G80" i="26" s="1"/>
  <c r="F79" i="26"/>
  <c r="G79" i="26" s="1"/>
  <c r="F76" i="26"/>
  <c r="G76" i="26" s="1"/>
  <c r="F75" i="26"/>
  <c r="G75" i="26" s="1"/>
  <c r="F72" i="26"/>
  <c r="G72" i="26" s="1"/>
  <c r="E71" i="26"/>
  <c r="F71" i="26" s="1"/>
  <c r="F68" i="26"/>
  <c r="G68" i="26" s="1"/>
  <c r="F67" i="26"/>
  <c r="G67" i="26" s="1"/>
  <c r="F64" i="26"/>
  <c r="G64" i="26" s="1"/>
  <c r="F60" i="26"/>
  <c r="AJ24" i="29"/>
  <c r="AJ24" i="24"/>
  <c r="AK22" i="24"/>
  <c r="AK23" i="24"/>
  <c r="AI4" i="24"/>
  <c r="AI6" i="24"/>
  <c r="AI7" i="24"/>
  <c r="AI8" i="24"/>
  <c r="AI9" i="24"/>
  <c r="AI10" i="24"/>
  <c r="AI11" i="24"/>
  <c r="AI12" i="24"/>
  <c r="AI13" i="24"/>
  <c r="AI5" i="24"/>
  <c r="AI15" i="24"/>
  <c r="AI16" i="24"/>
  <c r="AI17" i="24"/>
  <c r="AI14" i="24"/>
  <c r="AI18" i="24"/>
  <c r="AI19" i="24"/>
  <c r="AI20" i="24"/>
  <c r="AI21" i="24"/>
  <c r="AI22" i="24"/>
  <c r="AI17" i="29"/>
  <c r="AH27" i="29"/>
  <c r="AH26" i="29" s="1"/>
  <c r="AG27" i="29"/>
  <c r="AG26" i="29" s="1"/>
  <c r="AF27" i="29"/>
  <c r="AF26" i="29" s="1"/>
  <c r="AE27" i="29"/>
  <c r="AE26" i="29" s="1"/>
  <c r="AD27" i="29"/>
  <c r="AD26" i="29" s="1"/>
  <c r="AC27" i="29"/>
  <c r="AC26" i="29" s="1"/>
  <c r="AB27" i="29"/>
  <c r="AB26" i="29" s="1"/>
  <c r="AA27" i="29"/>
  <c r="AA26" i="29" s="1"/>
  <c r="Z27" i="29"/>
  <c r="Z26" i="29" s="1"/>
  <c r="Y27" i="29"/>
  <c r="Y26" i="29" s="1"/>
  <c r="X27" i="29"/>
  <c r="X26" i="29" s="1"/>
  <c r="W27" i="29"/>
  <c r="W26" i="29" s="1"/>
  <c r="V27" i="29"/>
  <c r="V26" i="29" s="1"/>
  <c r="U27" i="29"/>
  <c r="U26" i="29" s="1"/>
  <c r="T27" i="29"/>
  <c r="T26" i="29" s="1"/>
  <c r="S27" i="29"/>
  <c r="S26" i="29" s="1"/>
  <c r="R27" i="29"/>
  <c r="R26" i="29" s="1"/>
  <c r="Q27" i="29"/>
  <c r="Q26" i="29" s="1"/>
  <c r="P27" i="29"/>
  <c r="P26" i="29" s="1"/>
  <c r="O27" i="29"/>
  <c r="O26" i="29" s="1"/>
  <c r="N27" i="29"/>
  <c r="N26" i="29" s="1"/>
  <c r="M27" i="29"/>
  <c r="M26" i="29" s="1"/>
  <c r="L27" i="29"/>
  <c r="K27" i="29"/>
  <c r="K26" i="29" s="1"/>
  <c r="J27" i="29"/>
  <c r="J26" i="29" s="1"/>
  <c r="I27" i="29"/>
  <c r="I26" i="29" s="1"/>
  <c r="H27" i="29"/>
  <c r="H26" i="29" s="1"/>
  <c r="G27" i="29"/>
  <c r="G26" i="29" s="1"/>
  <c r="F27" i="29"/>
  <c r="F26" i="29" s="1"/>
  <c r="E27" i="29"/>
  <c r="E26" i="29" s="1"/>
  <c r="D27" i="29"/>
  <c r="D26" i="29" s="1"/>
  <c r="L26" i="29"/>
  <c r="AJ25" i="29"/>
  <c r="AH24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AM23" i="29"/>
  <c r="AI23" i="29"/>
  <c r="AM22" i="29"/>
  <c r="AI22" i="29"/>
  <c r="AM21" i="29"/>
  <c r="AI21" i="29"/>
  <c r="AK20" i="29"/>
  <c r="AM20" i="29" s="1"/>
  <c r="AI20" i="29"/>
  <c r="AM19" i="29"/>
  <c r="AI19" i="29"/>
  <c r="AM14" i="29"/>
  <c r="AI14" i="29"/>
  <c r="AM3" i="29"/>
  <c r="AI3" i="29"/>
  <c r="AM5" i="29"/>
  <c r="AI5" i="29"/>
  <c r="AM15" i="29"/>
  <c r="AI15" i="29"/>
  <c r="AM8" i="29"/>
  <c r="AI8" i="29"/>
  <c r="AL10" i="29"/>
  <c r="AI10" i="29"/>
  <c r="AL6" i="29"/>
  <c r="AI6" i="29"/>
  <c r="AL9" i="29"/>
  <c r="AI9" i="29"/>
  <c r="AL16" i="29"/>
  <c r="AI16" i="29"/>
  <c r="AL11" i="29"/>
  <c r="AI11" i="29"/>
  <c r="AL4" i="29"/>
  <c r="AI4" i="29"/>
  <c r="AL12" i="29"/>
  <c r="AI12" i="29"/>
  <c r="AL13" i="29"/>
  <c r="AI13" i="29"/>
  <c r="AL18" i="29"/>
  <c r="AI18" i="29"/>
  <c r="AL7" i="29"/>
  <c r="AI7" i="29"/>
  <c r="AJ25" i="24"/>
  <c r="E8" i="26"/>
  <c r="AL20" i="29" l="1"/>
  <c r="G71" i="26"/>
  <c r="F89" i="26"/>
  <c r="F368" i="26"/>
  <c r="G532" i="26"/>
  <c r="F535" i="26"/>
  <c r="F504" i="26"/>
  <c r="F522" i="26"/>
  <c r="F531" i="26"/>
  <c r="G508" i="26"/>
  <c r="F544" i="26"/>
  <c r="F506" i="26"/>
  <c r="F520" i="26"/>
  <c r="G536" i="26"/>
  <c r="F539" i="26"/>
  <c r="G548" i="26"/>
  <c r="F551" i="26"/>
  <c r="G450" i="26"/>
  <c r="G540" i="26"/>
  <c r="F543" i="26"/>
  <c r="F547" i="26"/>
  <c r="G408" i="26"/>
  <c r="F518" i="26"/>
  <c r="G489" i="26"/>
  <c r="F498" i="26"/>
  <c r="F523" i="26" s="1"/>
  <c r="G500" i="26"/>
  <c r="F512" i="26"/>
  <c r="F514" i="26"/>
  <c r="G516" i="26"/>
  <c r="G552" i="26"/>
  <c r="F411" i="26"/>
  <c r="G486" i="26"/>
  <c r="F502" i="26"/>
  <c r="F438" i="26"/>
  <c r="F456" i="26"/>
  <c r="G477" i="26"/>
  <c r="F510" i="26"/>
  <c r="G355" i="26"/>
  <c r="F446" i="26"/>
  <c r="F448" i="26"/>
  <c r="F454" i="26"/>
  <c r="G470" i="26"/>
  <c r="F473" i="26"/>
  <c r="G478" i="26"/>
  <c r="F481" i="26"/>
  <c r="F530" i="26"/>
  <c r="F534" i="26"/>
  <c r="F538" i="26"/>
  <c r="F542" i="26"/>
  <c r="F546" i="26"/>
  <c r="F550" i="26"/>
  <c r="F425" i="26"/>
  <c r="G428" i="26"/>
  <c r="F440" i="26"/>
  <c r="G501" i="26"/>
  <c r="G505" i="26"/>
  <c r="G509" i="26"/>
  <c r="G513" i="26"/>
  <c r="G517" i="26"/>
  <c r="G521" i="26"/>
  <c r="F529" i="26"/>
  <c r="F554" i="26" s="1"/>
  <c r="F533" i="26"/>
  <c r="F537" i="26"/>
  <c r="F541" i="26"/>
  <c r="F545" i="26"/>
  <c r="F549" i="26"/>
  <c r="F553" i="26"/>
  <c r="G385" i="26"/>
  <c r="F388" i="26"/>
  <c r="G423" i="26"/>
  <c r="F442" i="26"/>
  <c r="F444" i="26"/>
  <c r="F458" i="26"/>
  <c r="F460" i="26"/>
  <c r="F469" i="26"/>
  <c r="G482" i="26"/>
  <c r="F485" i="26"/>
  <c r="F499" i="26"/>
  <c r="F503" i="26"/>
  <c r="F507" i="26"/>
  <c r="F511" i="26"/>
  <c r="F515" i="26"/>
  <c r="F519" i="26"/>
  <c r="F287" i="26"/>
  <c r="F436" i="26"/>
  <c r="F461" i="26" s="1"/>
  <c r="F452" i="26"/>
  <c r="G474" i="26"/>
  <c r="G490" i="26"/>
  <c r="G377" i="26"/>
  <c r="F380" i="26"/>
  <c r="G407" i="26"/>
  <c r="G416" i="26"/>
  <c r="F419" i="26"/>
  <c r="G424" i="26"/>
  <c r="F468" i="26"/>
  <c r="F472" i="26"/>
  <c r="F476" i="26"/>
  <c r="F480" i="26"/>
  <c r="F484" i="26"/>
  <c r="F488" i="26"/>
  <c r="G384" i="26"/>
  <c r="G393" i="26"/>
  <c r="F396" i="26"/>
  <c r="G427" i="26"/>
  <c r="F429" i="26"/>
  <c r="G439" i="26"/>
  <c r="G443" i="26"/>
  <c r="G447" i="26"/>
  <c r="G451" i="26"/>
  <c r="G455" i="26"/>
  <c r="G459" i="26"/>
  <c r="F467" i="26"/>
  <c r="F492" i="26" s="1"/>
  <c r="F471" i="26"/>
  <c r="F475" i="26"/>
  <c r="F479" i="26"/>
  <c r="F483" i="26"/>
  <c r="F487" i="26"/>
  <c r="F491" i="26"/>
  <c r="G284" i="26"/>
  <c r="G363" i="26"/>
  <c r="G412" i="26"/>
  <c r="F415" i="26"/>
  <c r="F437" i="26"/>
  <c r="F441" i="26"/>
  <c r="F445" i="26"/>
  <c r="F449" i="26"/>
  <c r="F453" i="26"/>
  <c r="F457" i="26"/>
  <c r="G323" i="26"/>
  <c r="F326" i="26"/>
  <c r="G347" i="26"/>
  <c r="G420" i="26"/>
  <c r="G351" i="26"/>
  <c r="G367" i="26"/>
  <c r="F376" i="26"/>
  <c r="G389" i="26"/>
  <c r="F392" i="26"/>
  <c r="F406" i="26"/>
  <c r="F410" i="26"/>
  <c r="F414" i="26"/>
  <c r="F418" i="26"/>
  <c r="F422" i="26"/>
  <c r="F426" i="26"/>
  <c r="F405" i="26"/>
  <c r="F430" i="26" s="1"/>
  <c r="F409" i="26"/>
  <c r="F413" i="26"/>
  <c r="F417" i="26"/>
  <c r="F421" i="26"/>
  <c r="G303" i="26"/>
  <c r="G343" i="26"/>
  <c r="G359" i="26"/>
  <c r="G381" i="26"/>
  <c r="G397" i="26"/>
  <c r="G222" i="26"/>
  <c r="G319" i="26"/>
  <c r="F322" i="26"/>
  <c r="G335" i="26"/>
  <c r="F346" i="26"/>
  <c r="F350" i="26"/>
  <c r="F354" i="26"/>
  <c r="F358" i="26"/>
  <c r="F362" i="26"/>
  <c r="F366" i="26"/>
  <c r="F375" i="26"/>
  <c r="F379" i="26"/>
  <c r="F383" i="26"/>
  <c r="F387" i="26"/>
  <c r="F391" i="26"/>
  <c r="F395" i="26"/>
  <c r="G288" i="26"/>
  <c r="F291" i="26"/>
  <c r="F374" i="26"/>
  <c r="F399" i="26" s="1"/>
  <c r="F378" i="26"/>
  <c r="F382" i="26"/>
  <c r="F386" i="26"/>
  <c r="F390" i="26"/>
  <c r="F394" i="26"/>
  <c r="F398" i="26"/>
  <c r="G315" i="26"/>
  <c r="F318" i="26"/>
  <c r="G331" i="26"/>
  <c r="F334" i="26"/>
  <c r="F345" i="26"/>
  <c r="F349" i="26"/>
  <c r="F353" i="26"/>
  <c r="F357" i="26"/>
  <c r="F361" i="26"/>
  <c r="F365" i="26"/>
  <c r="G227" i="26"/>
  <c r="G260" i="26"/>
  <c r="F314" i="26"/>
  <c r="G327" i="26"/>
  <c r="F330" i="26"/>
  <c r="F344" i="26"/>
  <c r="F348" i="26"/>
  <c r="F352" i="26"/>
  <c r="F356" i="26"/>
  <c r="F360" i="26"/>
  <c r="F364" i="26"/>
  <c r="G300" i="26"/>
  <c r="G137" i="26"/>
  <c r="F140" i="26"/>
  <c r="G207" i="26"/>
  <c r="F210" i="26"/>
  <c r="G231" i="26"/>
  <c r="F283" i="26"/>
  <c r="G296" i="26"/>
  <c r="F299" i="26"/>
  <c r="F313" i="26"/>
  <c r="F317" i="26"/>
  <c r="F321" i="26"/>
  <c r="F325" i="26"/>
  <c r="F329" i="26"/>
  <c r="F333" i="26"/>
  <c r="F229" i="26"/>
  <c r="G253" i="26"/>
  <c r="F256" i="26"/>
  <c r="G269" i="26"/>
  <c r="F272" i="26"/>
  <c r="G292" i="26"/>
  <c r="F295" i="26"/>
  <c r="F312" i="26"/>
  <c r="F337" i="26" s="1"/>
  <c r="F316" i="26"/>
  <c r="F320" i="26"/>
  <c r="F324" i="26"/>
  <c r="F328" i="26"/>
  <c r="F332" i="26"/>
  <c r="F336" i="26"/>
  <c r="G304" i="26"/>
  <c r="F226" i="26"/>
  <c r="G238" i="26"/>
  <c r="G243" i="26"/>
  <c r="F252" i="26"/>
  <c r="G265" i="26"/>
  <c r="F268" i="26"/>
  <c r="F282" i="26"/>
  <c r="F286" i="26"/>
  <c r="F290" i="26"/>
  <c r="F294" i="26"/>
  <c r="F298" i="26"/>
  <c r="F302" i="26"/>
  <c r="F242" i="26"/>
  <c r="G261" i="26"/>
  <c r="F264" i="26"/>
  <c r="F281" i="26"/>
  <c r="F306" i="26" s="1"/>
  <c r="F285" i="26"/>
  <c r="F289" i="26"/>
  <c r="F293" i="26"/>
  <c r="F297" i="26"/>
  <c r="F301" i="26"/>
  <c r="F305" i="26"/>
  <c r="F233" i="26"/>
  <c r="G257" i="26"/>
  <c r="G273" i="26"/>
  <c r="G129" i="26"/>
  <c r="F132" i="26"/>
  <c r="F175" i="26"/>
  <c r="F177" i="26"/>
  <c r="G195" i="26"/>
  <c r="F198" i="26"/>
  <c r="F219" i="26"/>
  <c r="F244" i="26" s="1"/>
  <c r="F221" i="26"/>
  <c r="F230" i="26"/>
  <c r="F235" i="26"/>
  <c r="F237" i="26"/>
  <c r="F251" i="26"/>
  <c r="F255" i="26"/>
  <c r="F259" i="26"/>
  <c r="F263" i="26"/>
  <c r="F267" i="26"/>
  <c r="F271" i="26"/>
  <c r="F171" i="26"/>
  <c r="F173" i="26"/>
  <c r="G191" i="26"/>
  <c r="F194" i="26"/>
  <c r="G211" i="26"/>
  <c r="F223" i="26"/>
  <c r="F225" i="26"/>
  <c r="F234" i="26"/>
  <c r="F239" i="26"/>
  <c r="F241" i="26"/>
  <c r="F250" i="26"/>
  <c r="F275" i="26" s="1"/>
  <c r="F254" i="26"/>
  <c r="F258" i="26"/>
  <c r="F262" i="26"/>
  <c r="F266" i="26"/>
  <c r="F270" i="26"/>
  <c r="F274" i="26"/>
  <c r="G203" i="26"/>
  <c r="F206" i="26"/>
  <c r="F220" i="26"/>
  <c r="F224" i="26"/>
  <c r="F228" i="26"/>
  <c r="F232" i="26"/>
  <c r="F236" i="26"/>
  <c r="F240" i="26"/>
  <c r="G160" i="26"/>
  <c r="F163" i="26"/>
  <c r="G167" i="26"/>
  <c r="G179" i="26"/>
  <c r="G190" i="26"/>
  <c r="G199" i="26"/>
  <c r="F202" i="26"/>
  <c r="G105" i="26"/>
  <c r="G164" i="26"/>
  <c r="F169" i="26"/>
  <c r="F181" i="26"/>
  <c r="G114" i="26"/>
  <c r="F117" i="26"/>
  <c r="F159" i="26"/>
  <c r="F189" i="26"/>
  <c r="F193" i="26"/>
  <c r="F197" i="26"/>
  <c r="F201" i="26"/>
  <c r="F205" i="26"/>
  <c r="F209" i="26"/>
  <c r="G98" i="26"/>
  <c r="F101" i="26"/>
  <c r="G136" i="26"/>
  <c r="G145" i="26"/>
  <c r="F148" i="26"/>
  <c r="G168" i="26"/>
  <c r="G172" i="26"/>
  <c r="G176" i="26"/>
  <c r="G180" i="26"/>
  <c r="F188" i="26"/>
  <c r="F213" i="26" s="1"/>
  <c r="F192" i="26"/>
  <c r="F196" i="26"/>
  <c r="F200" i="26"/>
  <c r="F204" i="26"/>
  <c r="F208" i="26"/>
  <c r="F212" i="26"/>
  <c r="F128" i="26"/>
  <c r="G141" i="26"/>
  <c r="F144" i="26"/>
  <c r="F158" i="26"/>
  <c r="F162" i="26"/>
  <c r="F166" i="26"/>
  <c r="F170" i="26"/>
  <c r="F174" i="26"/>
  <c r="F178" i="26"/>
  <c r="F157" i="26"/>
  <c r="F182" i="26" s="1"/>
  <c r="F161" i="26"/>
  <c r="F165" i="26"/>
  <c r="G133" i="26"/>
  <c r="G149" i="26"/>
  <c r="F97" i="26"/>
  <c r="G110" i="26"/>
  <c r="F113" i="26"/>
  <c r="F127" i="26"/>
  <c r="F131" i="26"/>
  <c r="F135" i="26"/>
  <c r="F139" i="26"/>
  <c r="F143" i="26"/>
  <c r="F147" i="26"/>
  <c r="G106" i="26"/>
  <c r="F109" i="26"/>
  <c r="F126" i="26"/>
  <c r="F151" i="26" s="1"/>
  <c r="F130" i="26"/>
  <c r="F134" i="26"/>
  <c r="F138" i="26"/>
  <c r="F142" i="26"/>
  <c r="F146" i="26"/>
  <c r="F150" i="26"/>
  <c r="G102" i="26"/>
  <c r="G118" i="26"/>
  <c r="F66" i="26"/>
  <c r="G66" i="26" s="1"/>
  <c r="F70" i="26"/>
  <c r="G70" i="26" s="1"/>
  <c r="F74" i="26"/>
  <c r="G74" i="26" s="1"/>
  <c r="F78" i="26"/>
  <c r="G78" i="26" s="1"/>
  <c r="F82" i="26"/>
  <c r="G82" i="26" s="1"/>
  <c r="F86" i="26"/>
  <c r="G86" i="26" s="1"/>
  <c r="F96" i="26"/>
  <c r="F100" i="26"/>
  <c r="F104" i="26"/>
  <c r="F108" i="26"/>
  <c r="F112" i="26"/>
  <c r="F116" i="26"/>
  <c r="F95" i="26"/>
  <c r="F99" i="26"/>
  <c r="F103" i="26"/>
  <c r="F107" i="26"/>
  <c r="F111" i="26"/>
  <c r="F115" i="26"/>
  <c r="F119" i="26"/>
  <c r="F65" i="26"/>
  <c r="G65" i="26" s="1"/>
  <c r="F69" i="26"/>
  <c r="G69" i="26" s="1"/>
  <c r="F73" i="26"/>
  <c r="G73" i="26" s="1"/>
  <c r="F77" i="26"/>
  <c r="G77" i="26" s="1"/>
  <c r="F81" i="26"/>
  <c r="G81" i="26" s="1"/>
  <c r="F85" i="26"/>
  <c r="G85" i="26" s="1"/>
  <c r="F88" i="26"/>
  <c r="G88" i="26" s="1"/>
  <c r="F61" i="26"/>
  <c r="F62" i="26"/>
  <c r="F63" i="26"/>
  <c r="AL5" i="29"/>
  <c r="AL8" i="29"/>
  <c r="AL22" i="29"/>
  <c r="AL14" i="29"/>
  <c r="AL3" i="29"/>
  <c r="AL21" i="29"/>
  <c r="AL15" i="29"/>
  <c r="AL19" i="29"/>
  <c r="AL23" i="29"/>
  <c r="AM7" i="29"/>
  <c r="AM18" i="29"/>
  <c r="AM13" i="29"/>
  <c r="AM12" i="29"/>
  <c r="AM4" i="29"/>
  <c r="AM11" i="29"/>
  <c r="AM16" i="29"/>
  <c r="AM9" i="29"/>
  <c r="AM6" i="29"/>
  <c r="AM10" i="29"/>
  <c r="AK25" i="29"/>
  <c r="AL24" i="29"/>
  <c r="A1" i="26"/>
  <c r="F37" i="26"/>
  <c r="F38" i="26"/>
  <c r="F42" i="26"/>
  <c r="F45" i="26"/>
  <c r="F46" i="26"/>
  <c r="F49" i="26"/>
  <c r="F50" i="26"/>
  <c r="F53" i="26"/>
  <c r="F54" i="26"/>
  <c r="F57" i="26"/>
  <c r="G29" i="26"/>
  <c r="F55" i="26" l="1"/>
  <c r="F51" i="26"/>
  <c r="F47" i="26"/>
  <c r="F39" i="26"/>
  <c r="F35" i="26"/>
  <c r="F31" i="26"/>
  <c r="F56" i="26"/>
  <c r="F52" i="26"/>
  <c r="F48" i="26"/>
  <c r="F44" i="26"/>
  <c r="F36" i="26"/>
  <c r="F32" i="26"/>
  <c r="F34" i="26"/>
  <c r="F33" i="26"/>
  <c r="F41" i="26"/>
  <c r="F40" i="26"/>
  <c r="F58" i="26" s="1"/>
  <c r="F43" i="26"/>
  <c r="G30" i="26"/>
  <c r="G31" i="26"/>
  <c r="G48" i="26"/>
  <c r="G40" i="26"/>
  <c r="G32" i="26"/>
  <c r="G55" i="26"/>
  <c r="G51" i="26"/>
  <c r="G47" i="26"/>
  <c r="G43" i="26"/>
  <c r="G39" i="26"/>
  <c r="G35" i="26"/>
  <c r="G52" i="26"/>
  <c r="G36" i="26"/>
  <c r="G54" i="26"/>
  <c r="G50" i="26"/>
  <c r="G46" i="26"/>
  <c r="G42" i="26"/>
  <c r="G38" i="26"/>
  <c r="G34" i="26"/>
  <c r="G56" i="26"/>
  <c r="G44" i="26"/>
  <c r="G57" i="26"/>
  <c r="G53" i="26"/>
  <c r="G49" i="26"/>
  <c r="G45" i="26"/>
  <c r="G41" i="26"/>
  <c r="G37" i="26"/>
  <c r="G33" i="26"/>
  <c r="F30" i="26"/>
  <c r="F29" i="26"/>
  <c r="D8" i="26"/>
  <c r="E3" i="26"/>
  <c r="G3" i="26" s="1"/>
  <c r="J3" i="26" s="1"/>
  <c r="E4" i="26"/>
  <c r="F4" i="26" s="1"/>
  <c r="E5" i="26"/>
  <c r="E6" i="26"/>
  <c r="G6" i="26" s="1"/>
  <c r="E7" i="26"/>
  <c r="E9" i="26"/>
  <c r="G9" i="26" s="1"/>
  <c r="E10" i="26"/>
  <c r="E11" i="26"/>
  <c r="F11" i="26" s="1"/>
  <c r="E12" i="26"/>
  <c r="E13" i="26"/>
  <c r="G13" i="26" s="1"/>
  <c r="E14" i="26"/>
  <c r="E15" i="26"/>
  <c r="F15" i="26" s="1"/>
  <c r="E16" i="26"/>
  <c r="E17" i="26"/>
  <c r="E18" i="26"/>
  <c r="F18" i="26" s="1"/>
  <c r="E19" i="26"/>
  <c r="E20" i="26"/>
  <c r="G20" i="26" s="1"/>
  <c r="D19" i="26"/>
  <c r="D17" i="26"/>
  <c r="D16" i="26"/>
  <c r="D14" i="26"/>
  <c r="D12" i="26"/>
  <c r="D10" i="26"/>
  <c r="D7" i="26"/>
  <c r="A19" i="26"/>
  <c r="R7" i="18"/>
  <c r="AG11" i="7"/>
  <c r="AI11" i="7"/>
  <c r="AJ11" i="7"/>
  <c r="AK11" i="7"/>
  <c r="AH11" i="5"/>
  <c r="AJ11" i="5"/>
  <c r="AK11" i="5"/>
  <c r="AL11" i="5"/>
  <c r="Q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R23" i="18"/>
  <c r="T23" i="18" s="1"/>
  <c r="O23" i="18"/>
  <c r="R22" i="18"/>
  <c r="T22" i="18" s="1"/>
  <c r="O22" i="18"/>
  <c r="R21" i="18"/>
  <c r="T21" i="18" s="1"/>
  <c r="O21" i="18"/>
  <c r="R20" i="18"/>
  <c r="T20" i="18" s="1"/>
  <c r="O20" i="18"/>
  <c r="R24" i="18"/>
  <c r="T24" i="18" s="1"/>
  <c r="O24" i="18"/>
  <c r="R19" i="18"/>
  <c r="T19" i="18" s="1"/>
  <c r="O19" i="18"/>
  <c r="R18" i="18"/>
  <c r="T18" i="18" s="1"/>
  <c r="O18" i="18"/>
  <c r="R17" i="18"/>
  <c r="T17" i="18" s="1"/>
  <c r="O17" i="18"/>
  <c r="R16" i="18"/>
  <c r="T16" i="18" s="1"/>
  <c r="O16" i="18"/>
  <c r="R15" i="18"/>
  <c r="T15" i="18" s="1"/>
  <c r="O15" i="18"/>
  <c r="R14" i="18"/>
  <c r="T14" i="18" s="1"/>
  <c r="O14" i="18"/>
  <c r="R13" i="18"/>
  <c r="T13" i="18" s="1"/>
  <c r="O13" i="18"/>
  <c r="R12" i="18"/>
  <c r="T12" i="18" s="1"/>
  <c r="O12" i="18"/>
  <c r="R11" i="18"/>
  <c r="T11" i="18" s="1"/>
  <c r="O11" i="18"/>
  <c r="R10" i="18"/>
  <c r="T10" i="18" s="1"/>
  <c r="O10" i="18"/>
  <c r="R9" i="18"/>
  <c r="T9" i="18" s="1"/>
  <c r="O9" i="18"/>
  <c r="R8" i="18"/>
  <c r="T8" i="18" s="1"/>
  <c r="O8" i="18"/>
  <c r="T7" i="18"/>
  <c r="O7" i="18"/>
  <c r="R6" i="18"/>
  <c r="T6" i="18" s="1"/>
  <c r="O6" i="18"/>
  <c r="R5" i="18"/>
  <c r="T5" i="18" s="1"/>
  <c r="O5" i="18"/>
  <c r="R4" i="18"/>
  <c r="P4" i="18" s="1"/>
  <c r="O4" i="18"/>
  <c r="AI20" i="22"/>
  <c r="AJ20" i="23"/>
  <c r="G10" i="26" l="1"/>
  <c r="J10" i="26" s="1"/>
  <c r="K10" i="26" s="1"/>
  <c r="L10" i="26" s="1"/>
  <c r="G89" i="26"/>
  <c r="K4" i="26"/>
  <c r="L4" i="26" s="1"/>
  <c r="A17" i="26"/>
  <c r="A18" i="26"/>
  <c r="A15" i="26"/>
  <c r="A16" i="26"/>
  <c r="A13" i="26"/>
  <c r="A14" i="26"/>
  <c r="A11" i="26"/>
  <c r="A12" i="26"/>
  <c r="A9" i="26"/>
  <c r="A10" i="26"/>
  <c r="A7" i="26"/>
  <c r="A8" i="26"/>
  <c r="A5" i="26"/>
  <c r="A6" i="26"/>
  <c r="A3" i="26"/>
  <c r="A4" i="26"/>
  <c r="G5" i="26"/>
  <c r="J5" i="26" s="1"/>
  <c r="G8" i="26"/>
  <c r="J8" i="26" s="1"/>
  <c r="K8" i="26" s="1"/>
  <c r="L8" i="26" s="1"/>
  <c r="G7" i="26"/>
  <c r="J7" i="26" s="1"/>
  <c r="K7" i="26" s="1"/>
  <c r="L7" i="26" s="1"/>
  <c r="F16" i="26"/>
  <c r="F9" i="26"/>
  <c r="F19" i="26"/>
  <c r="F7" i="26"/>
  <c r="F14" i="26"/>
  <c r="F10" i="26"/>
  <c r="F17" i="26"/>
  <c r="F12" i="26"/>
  <c r="F6" i="26"/>
  <c r="F13" i="26"/>
  <c r="F5" i="26"/>
  <c r="F20" i="26"/>
  <c r="F8" i="26"/>
  <c r="G4" i="26"/>
  <c r="J4" i="26" s="1"/>
  <c r="G17" i="26"/>
  <c r="J17" i="26" s="1"/>
  <c r="K17" i="26" s="1"/>
  <c r="L17" i="26" s="1"/>
  <c r="G16" i="26"/>
  <c r="J16" i="26" s="1"/>
  <c r="K16" i="26" s="1"/>
  <c r="L16" i="26" s="1"/>
  <c r="G12" i="26"/>
  <c r="J12" i="26" s="1"/>
  <c r="K12" i="26" s="1"/>
  <c r="L12" i="26" s="1"/>
  <c r="G14" i="26"/>
  <c r="J14" i="26" s="1"/>
  <c r="K14" i="26" s="1"/>
  <c r="L14" i="26" s="1"/>
  <c r="G18" i="26"/>
  <c r="J18" i="26" s="1"/>
  <c r="K18" i="26" s="1"/>
  <c r="L18" i="26" s="1"/>
  <c r="G15" i="26"/>
  <c r="J15" i="26" s="1"/>
  <c r="K15" i="26" s="1"/>
  <c r="L15" i="26" s="1"/>
  <c r="G19" i="26"/>
  <c r="J19" i="26" s="1"/>
  <c r="K19" i="26" s="1"/>
  <c r="L19" i="26" s="1"/>
  <c r="G11" i="26"/>
  <c r="J11" i="26" s="1"/>
  <c r="K11" i="26" s="1"/>
  <c r="L11" i="26" s="1"/>
  <c r="F3" i="26"/>
  <c r="J6" i="26"/>
  <c r="K6" i="26" s="1"/>
  <c r="L6" i="26" s="1"/>
  <c r="J13" i="26"/>
  <c r="K13" i="26" s="1"/>
  <c r="L13" i="26" s="1"/>
  <c r="J9" i="26"/>
  <c r="K9" i="26" s="1"/>
  <c r="L9" i="26" s="1"/>
  <c r="J20" i="26"/>
  <c r="P15" i="18"/>
  <c r="P8" i="18"/>
  <c r="P20" i="18"/>
  <c r="P22" i="18"/>
  <c r="P23" i="18"/>
  <c r="P5" i="18"/>
  <c r="P11" i="18"/>
  <c r="P24" i="18"/>
  <c r="P9" i="18"/>
  <c r="P12" i="18"/>
  <c r="P17" i="18"/>
  <c r="P13" i="18"/>
  <c r="P16" i="18"/>
  <c r="P19" i="18"/>
  <c r="O25" i="18"/>
  <c r="R25" i="18"/>
  <c r="T25" i="18" s="1"/>
  <c r="P7" i="18"/>
  <c r="P6" i="18"/>
  <c r="P10" i="18"/>
  <c r="P14" i="18"/>
  <c r="P18" i="18"/>
  <c r="P21" i="18"/>
  <c r="T4" i="18"/>
  <c r="L5" i="26" l="1"/>
  <c r="K3" i="26"/>
  <c r="L3" i="26" s="1"/>
  <c r="G58" i="26"/>
  <c r="P25" i="18"/>
  <c r="B3" i="25" l="1"/>
  <c r="B4" i="25"/>
  <c r="B5" i="25"/>
  <c r="B25" i="25" s="1"/>
  <c r="B6" i="25"/>
  <c r="B26" i="25" s="1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D27" i="25"/>
  <c r="G27" i="25"/>
  <c r="N26" i="25"/>
  <c r="M26" i="25"/>
  <c r="L26" i="25"/>
  <c r="K26" i="25"/>
  <c r="J26" i="25"/>
  <c r="I26" i="25"/>
  <c r="H26" i="25"/>
  <c r="F26" i="25"/>
  <c r="E26" i="25"/>
  <c r="D26" i="25"/>
  <c r="C26" i="25"/>
  <c r="N25" i="25"/>
  <c r="N27" i="25" s="1"/>
  <c r="M25" i="25"/>
  <c r="M27" i="25" s="1"/>
  <c r="L25" i="25"/>
  <c r="L27" i="25" s="1"/>
  <c r="K25" i="25"/>
  <c r="K27" i="25" s="1"/>
  <c r="J25" i="25"/>
  <c r="J27" i="25" s="1"/>
  <c r="I25" i="25"/>
  <c r="I27" i="25" s="1"/>
  <c r="H25" i="25"/>
  <c r="H27" i="25" s="1"/>
  <c r="F25" i="25"/>
  <c r="F27" i="25" s="1"/>
  <c r="E25" i="25"/>
  <c r="E27" i="25" s="1"/>
  <c r="D25" i="25"/>
  <c r="C25" i="25"/>
  <c r="C27" i="25" s="1"/>
  <c r="AH27" i="24"/>
  <c r="AH26" i="24" s="1"/>
  <c r="AG27" i="24"/>
  <c r="AG26" i="24" s="1"/>
  <c r="AF27" i="24"/>
  <c r="AF26" i="24" s="1"/>
  <c r="AE27" i="24"/>
  <c r="AE26" i="24" s="1"/>
  <c r="AD27" i="24"/>
  <c r="AD26" i="24" s="1"/>
  <c r="AC27" i="24"/>
  <c r="AC26" i="24" s="1"/>
  <c r="AB27" i="24"/>
  <c r="AB26" i="24" s="1"/>
  <c r="AA27" i="24"/>
  <c r="AA26" i="24" s="1"/>
  <c r="Z27" i="24"/>
  <c r="Z26" i="24" s="1"/>
  <c r="Y27" i="24"/>
  <c r="Y26" i="24" s="1"/>
  <c r="X27" i="24"/>
  <c r="X26" i="24" s="1"/>
  <c r="W27" i="24"/>
  <c r="W26" i="24" s="1"/>
  <c r="V27" i="24"/>
  <c r="V26" i="24" s="1"/>
  <c r="U27" i="24"/>
  <c r="U26" i="24" s="1"/>
  <c r="T27" i="24"/>
  <c r="T26" i="24" s="1"/>
  <c r="S27" i="24"/>
  <c r="S26" i="24" s="1"/>
  <c r="R27" i="24"/>
  <c r="R26" i="24" s="1"/>
  <c r="Q27" i="24"/>
  <c r="Q26" i="24" s="1"/>
  <c r="P27" i="24"/>
  <c r="P26" i="24" s="1"/>
  <c r="O27" i="24"/>
  <c r="O26" i="24" s="1"/>
  <c r="N27" i="24"/>
  <c r="N26" i="24" s="1"/>
  <c r="M27" i="24"/>
  <c r="M26" i="24" s="1"/>
  <c r="L27" i="24"/>
  <c r="L26" i="24" s="1"/>
  <c r="K27" i="24"/>
  <c r="K26" i="24" s="1"/>
  <c r="J27" i="24"/>
  <c r="J26" i="24" s="1"/>
  <c r="I27" i="24"/>
  <c r="I26" i="24" s="1"/>
  <c r="H27" i="24"/>
  <c r="H26" i="24" s="1"/>
  <c r="G27" i="24"/>
  <c r="G26" i="24" s="1"/>
  <c r="F27" i="24"/>
  <c r="F26" i="24" s="1"/>
  <c r="E27" i="24"/>
  <c r="E26" i="24" s="1"/>
  <c r="D27" i="24"/>
  <c r="D26" i="24" s="1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AL23" i="24"/>
  <c r="AI23" i="24"/>
  <c r="AM16" i="24"/>
  <c r="AM10" i="24"/>
  <c r="AM7" i="24"/>
  <c r="AM9" i="24"/>
  <c r="AM15" i="24"/>
  <c r="AM4" i="24"/>
  <c r="AM8" i="24"/>
  <c r="AM6" i="24"/>
  <c r="AM12" i="24"/>
  <c r="AM17" i="24"/>
  <c r="AM18" i="24"/>
  <c r="AL11" i="24"/>
  <c r="AL13" i="24"/>
  <c r="AL19" i="24"/>
  <c r="AL3" i="24"/>
  <c r="AI3" i="24"/>
  <c r="AL14" i="24"/>
  <c r="AL22" i="24"/>
  <c r="AL21" i="24"/>
  <c r="AL20" i="24"/>
  <c r="AI24" i="23"/>
  <c r="AJ24" i="23"/>
  <c r="AJ13" i="23"/>
  <c r="AJ17" i="23"/>
  <c r="AJ18" i="23"/>
  <c r="AK18" i="23" s="1"/>
  <c r="AL22" i="23"/>
  <c r="AK13" i="23"/>
  <c r="AL14" i="23"/>
  <c r="AK21" i="23"/>
  <c r="AJ23" i="23"/>
  <c r="AL9" i="23"/>
  <c r="AL12" i="23"/>
  <c r="AK16" i="23"/>
  <c r="AK20" i="23"/>
  <c r="AG27" i="23"/>
  <c r="AG26" i="23" s="1"/>
  <c r="AG24" i="23"/>
  <c r="AI25" i="23"/>
  <c r="T25" i="1"/>
  <c r="S25" i="1"/>
  <c r="P25" i="1"/>
  <c r="Q26" i="1"/>
  <c r="P26" i="1"/>
  <c r="Q25" i="1"/>
  <c r="R25" i="1" s="1"/>
  <c r="AF27" i="23"/>
  <c r="AE27" i="23"/>
  <c r="AE26" i="23" s="1"/>
  <c r="AD27" i="23"/>
  <c r="AD26" i="23" s="1"/>
  <c r="AC27" i="23"/>
  <c r="AC26" i="23" s="1"/>
  <c r="AB27" i="23"/>
  <c r="AB26" i="23" s="1"/>
  <c r="AA27" i="23"/>
  <c r="AA26" i="23" s="1"/>
  <c r="Z27" i="23"/>
  <c r="Z26" i="23" s="1"/>
  <c r="Y27" i="23"/>
  <c r="Y26" i="23" s="1"/>
  <c r="X27" i="23"/>
  <c r="W27" i="23"/>
  <c r="V27" i="23"/>
  <c r="V26" i="23" s="1"/>
  <c r="U27" i="23"/>
  <c r="U26" i="23" s="1"/>
  <c r="T27" i="23"/>
  <c r="S27" i="23"/>
  <c r="S26" i="23" s="1"/>
  <c r="R27" i="23"/>
  <c r="R26" i="23" s="1"/>
  <c r="Q27" i="23"/>
  <c r="Q26" i="23" s="1"/>
  <c r="P27" i="23"/>
  <c r="O27" i="23"/>
  <c r="N27" i="23"/>
  <c r="N26" i="23" s="1"/>
  <c r="M27" i="23"/>
  <c r="M26" i="23" s="1"/>
  <c r="L27" i="23"/>
  <c r="K27" i="23"/>
  <c r="K26" i="23" s="1"/>
  <c r="J27" i="23"/>
  <c r="J26" i="23" s="1"/>
  <c r="I27" i="23"/>
  <c r="I26" i="23" s="1"/>
  <c r="H27" i="23"/>
  <c r="H26" i="23" s="1"/>
  <c r="G27" i="23"/>
  <c r="F27" i="23"/>
  <c r="F26" i="23" s="1"/>
  <c r="E27" i="23"/>
  <c r="E26" i="23" s="1"/>
  <c r="D27" i="23"/>
  <c r="D26" i="23" s="1"/>
  <c r="C27" i="23"/>
  <c r="C26" i="23" s="1"/>
  <c r="AF26" i="23"/>
  <c r="X26" i="23"/>
  <c r="W26" i="23"/>
  <c r="T26" i="23"/>
  <c r="P26" i="23"/>
  <c r="O26" i="23"/>
  <c r="L26" i="23"/>
  <c r="G26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AL23" i="23"/>
  <c r="AK23" i="23"/>
  <c r="AH23" i="23"/>
  <c r="AH22" i="23"/>
  <c r="AH21" i="23"/>
  <c r="AH20" i="23"/>
  <c r="AK19" i="23"/>
  <c r="AH19" i="23"/>
  <c r="AH18" i="23"/>
  <c r="AK17" i="23"/>
  <c r="AH17" i="23"/>
  <c r="AH16" i="23"/>
  <c r="AK15" i="23"/>
  <c r="AH15" i="23"/>
  <c r="AH14" i="23"/>
  <c r="AH13" i="23"/>
  <c r="AH12" i="23"/>
  <c r="AH10" i="23"/>
  <c r="AH9" i="23"/>
  <c r="AL8" i="23"/>
  <c r="AH8" i="23"/>
  <c r="AL7" i="23"/>
  <c r="AH7" i="23"/>
  <c r="AH6" i="23"/>
  <c r="AJ5" i="23"/>
  <c r="AL5" i="23" s="1"/>
  <c r="AH5" i="23"/>
  <c r="AJ4" i="23"/>
  <c r="AL4" i="23" s="1"/>
  <c r="AH4" i="23"/>
  <c r="AJ3" i="23"/>
  <c r="AL3" i="23" s="1"/>
  <c r="AH3" i="23"/>
  <c r="AH24" i="22"/>
  <c r="AH25" i="22"/>
  <c r="AF27" i="22"/>
  <c r="AE27" i="22"/>
  <c r="AD27" i="22"/>
  <c r="AD26" i="22" s="1"/>
  <c r="AC27" i="22"/>
  <c r="AC26" i="22" s="1"/>
  <c r="AB27" i="22"/>
  <c r="AA27" i="22"/>
  <c r="Z27" i="22"/>
  <c r="Y27" i="22"/>
  <c r="Y26" i="22" s="1"/>
  <c r="X27" i="22"/>
  <c r="W27" i="22"/>
  <c r="W26" i="22" s="1"/>
  <c r="V27" i="22"/>
  <c r="V26" i="22" s="1"/>
  <c r="U27" i="22"/>
  <c r="U26" i="22" s="1"/>
  <c r="T27" i="22"/>
  <c r="T26" i="22" s="1"/>
  <c r="S27" i="22"/>
  <c r="S26" i="22" s="1"/>
  <c r="R27" i="22"/>
  <c r="R26" i="22" s="1"/>
  <c r="Q27" i="22"/>
  <c r="Q26" i="22" s="1"/>
  <c r="P27" i="22"/>
  <c r="P26" i="22" s="1"/>
  <c r="O27" i="22"/>
  <c r="O26" i="22" s="1"/>
  <c r="N27" i="22"/>
  <c r="N26" i="22" s="1"/>
  <c r="M27" i="22"/>
  <c r="M26" i="22" s="1"/>
  <c r="L27" i="22"/>
  <c r="K27" i="22"/>
  <c r="K26" i="22" s="1"/>
  <c r="J27" i="22"/>
  <c r="J26" i="22" s="1"/>
  <c r="I27" i="22"/>
  <c r="I26" i="22" s="1"/>
  <c r="H27" i="22"/>
  <c r="H26" i="22" s="1"/>
  <c r="G27" i="22"/>
  <c r="G26" i="22" s="1"/>
  <c r="F27" i="22"/>
  <c r="F26" i="22" s="1"/>
  <c r="E27" i="22"/>
  <c r="E26" i="22" s="1"/>
  <c r="D27" i="22"/>
  <c r="D26" i="22" s="1"/>
  <c r="C27" i="22"/>
  <c r="C26" i="22" s="1"/>
  <c r="AF26" i="22"/>
  <c r="AE26" i="22"/>
  <c r="AB26" i="22"/>
  <c r="AA26" i="22"/>
  <c r="Z26" i="22"/>
  <c r="X26" i="22"/>
  <c r="L26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AI23" i="22"/>
  <c r="AJ23" i="22" s="1"/>
  <c r="AG23" i="22"/>
  <c r="AJ22" i="22"/>
  <c r="AG22" i="22"/>
  <c r="AI21" i="22"/>
  <c r="AJ21" i="22" s="1"/>
  <c r="AG21" i="22"/>
  <c r="AJ20" i="22"/>
  <c r="AG20" i="22"/>
  <c r="AJ19" i="22"/>
  <c r="AG19" i="22"/>
  <c r="AJ18" i="22"/>
  <c r="AG18" i="22"/>
  <c r="AI17" i="22"/>
  <c r="AJ17" i="22" s="1"/>
  <c r="AG17" i="22"/>
  <c r="AI16" i="22"/>
  <c r="AJ16" i="22" s="1"/>
  <c r="AG16" i="22"/>
  <c r="AJ15" i="22"/>
  <c r="AG15" i="22"/>
  <c r="AJ14" i="22"/>
  <c r="AG14" i="22"/>
  <c r="AI13" i="22"/>
  <c r="AJ13" i="22" s="1"/>
  <c r="AG13" i="22"/>
  <c r="AJ12" i="22"/>
  <c r="AG12" i="22"/>
  <c r="AK10" i="22"/>
  <c r="AG10" i="22"/>
  <c r="AK9" i="22"/>
  <c r="AG9" i="22"/>
  <c r="AI8" i="22"/>
  <c r="AK8" i="22" s="1"/>
  <c r="AG8" i="22"/>
  <c r="AI7" i="22"/>
  <c r="AK7" i="22" s="1"/>
  <c r="AG7" i="22"/>
  <c r="AI6" i="22"/>
  <c r="AG6" i="22"/>
  <c r="AI5" i="22"/>
  <c r="AK5" i="22" s="1"/>
  <c r="AG5" i="22"/>
  <c r="AI4" i="22"/>
  <c r="AK4" i="22" s="1"/>
  <c r="AG4" i="22"/>
  <c r="AI3" i="22"/>
  <c r="AK3" i="22" s="1"/>
  <c r="AG3" i="22"/>
  <c r="R27" i="5"/>
  <c r="R27" i="7"/>
  <c r="R27" i="14"/>
  <c r="R27" i="17"/>
  <c r="R28" i="19"/>
  <c r="R27" i="21"/>
  <c r="R26" i="21" s="1"/>
  <c r="AM20" i="24" l="1"/>
  <c r="AM22" i="24"/>
  <c r="AM21" i="24"/>
  <c r="AM23" i="24"/>
  <c r="R26" i="1"/>
  <c r="AM19" i="24"/>
  <c r="AL12" i="24"/>
  <c r="AL15" i="24"/>
  <c r="AM14" i="24"/>
  <c r="AM11" i="24"/>
  <c r="AL18" i="24"/>
  <c r="AL8" i="24"/>
  <c r="AL7" i="24"/>
  <c r="AL10" i="24"/>
  <c r="AL16" i="24"/>
  <c r="AM3" i="24"/>
  <c r="AL17" i="24"/>
  <c r="AL4" i="24"/>
  <c r="AM13" i="24"/>
  <c r="AL6" i="24"/>
  <c r="AL9" i="24"/>
  <c r="AK25" i="24"/>
  <c r="AL10" i="23"/>
  <c r="AJ25" i="23"/>
  <c r="AL15" i="23"/>
  <c r="AL19" i="23"/>
  <c r="AL18" i="23"/>
  <c r="AL17" i="23"/>
  <c r="AL21" i="23"/>
  <c r="AL13" i="23"/>
  <c r="AL16" i="23"/>
  <c r="AL20" i="23"/>
  <c r="AK12" i="23"/>
  <c r="AK14" i="23"/>
  <c r="AK22" i="23"/>
  <c r="AK3" i="23"/>
  <c r="AK6" i="23"/>
  <c r="AK9" i="23"/>
  <c r="AK24" i="23"/>
  <c r="AK10" i="23"/>
  <c r="AK4" i="23"/>
  <c r="AK5" i="23"/>
  <c r="AK7" i="23"/>
  <c r="AK8" i="23"/>
  <c r="AL6" i="23"/>
  <c r="AK13" i="22"/>
  <c r="AK17" i="22"/>
  <c r="AK21" i="22"/>
  <c r="AI25" i="22"/>
  <c r="AK12" i="22"/>
  <c r="AK16" i="22"/>
  <c r="AK20" i="22"/>
  <c r="AI24" i="22"/>
  <c r="AJ24" i="22" s="1"/>
  <c r="AK15" i="22"/>
  <c r="AK19" i="22"/>
  <c r="AK23" i="22"/>
  <c r="AK14" i="22"/>
  <c r="AK18" i="22"/>
  <c r="AK22" i="22"/>
  <c r="AJ3" i="22"/>
  <c r="AJ5" i="22"/>
  <c r="AJ6" i="22"/>
  <c r="AJ8" i="22"/>
  <c r="AJ9" i="22"/>
  <c r="AJ10" i="22"/>
  <c r="AJ4" i="22"/>
  <c r="AJ7" i="22"/>
  <c r="AK6" i="22"/>
  <c r="T27" i="13"/>
  <c r="T28" i="13" s="1"/>
  <c r="S28" i="13"/>
  <c r="O28" i="13"/>
  <c r="K28" i="13"/>
  <c r="S25" i="13"/>
  <c r="R25" i="13"/>
  <c r="R28" i="13" s="1"/>
  <c r="Q25" i="13"/>
  <c r="Q28" i="13" s="1"/>
  <c r="P25" i="13"/>
  <c r="P28" i="13" s="1"/>
  <c r="O25" i="13"/>
  <c r="N25" i="13"/>
  <c r="N28" i="13" s="1"/>
  <c r="M25" i="13"/>
  <c r="L25" i="13"/>
  <c r="L28" i="13" s="1"/>
  <c r="K25" i="13"/>
  <c r="J25" i="13"/>
  <c r="J28" i="13" s="1"/>
  <c r="I25" i="13"/>
  <c r="I28" i="13" s="1"/>
  <c r="H25" i="13"/>
  <c r="H28" i="13" s="1"/>
  <c r="E25" i="13"/>
  <c r="D25" i="13"/>
  <c r="C25" i="13"/>
  <c r="T24" i="13"/>
  <c r="V24" i="13" s="1"/>
  <c r="F24" i="13"/>
  <c r="T23" i="13"/>
  <c r="V23" i="13" s="1"/>
  <c r="F23" i="13"/>
  <c r="V22" i="13"/>
  <c r="T22" i="13"/>
  <c r="F22" i="13"/>
  <c r="T21" i="13"/>
  <c r="V21" i="13" s="1"/>
  <c r="F21" i="13"/>
  <c r="T20" i="13"/>
  <c r="V20" i="13" s="1"/>
  <c r="F20" i="13"/>
  <c r="T19" i="13"/>
  <c r="V19" i="13" s="1"/>
  <c r="F19" i="13"/>
  <c r="V18" i="13"/>
  <c r="T18" i="13"/>
  <c r="F18" i="13"/>
  <c r="T17" i="13"/>
  <c r="V17" i="13" s="1"/>
  <c r="F17" i="13"/>
  <c r="T16" i="13"/>
  <c r="V16" i="13" s="1"/>
  <c r="F16" i="13"/>
  <c r="T15" i="13"/>
  <c r="V15" i="13" s="1"/>
  <c r="F15" i="13"/>
  <c r="V14" i="13"/>
  <c r="T14" i="13"/>
  <c r="F14" i="13"/>
  <c r="T13" i="13"/>
  <c r="V13" i="13" s="1"/>
  <c r="F13" i="13"/>
  <c r="T12" i="13"/>
  <c r="V12" i="13" s="1"/>
  <c r="F12" i="13"/>
  <c r="T11" i="13"/>
  <c r="V11" i="13" s="1"/>
  <c r="F11" i="13"/>
  <c r="V10" i="13"/>
  <c r="T10" i="13"/>
  <c r="F10" i="13"/>
  <c r="T9" i="13"/>
  <c r="V9" i="13" s="1"/>
  <c r="F9" i="13"/>
  <c r="T8" i="13"/>
  <c r="V8" i="13" s="1"/>
  <c r="F8" i="13"/>
  <c r="T7" i="13"/>
  <c r="V7" i="13" s="1"/>
  <c r="F7" i="13"/>
  <c r="V6" i="13"/>
  <c r="T6" i="13"/>
  <c r="F6" i="13"/>
  <c r="T5" i="13"/>
  <c r="V5" i="13" s="1"/>
  <c r="F5" i="13"/>
  <c r="T4" i="13"/>
  <c r="T25" i="13" s="1"/>
  <c r="F4" i="13"/>
  <c r="F25" i="13" s="1"/>
  <c r="Q25" i="6"/>
  <c r="N25" i="6"/>
  <c r="M25" i="6"/>
  <c r="L25" i="6"/>
  <c r="K25" i="6"/>
  <c r="J25" i="6"/>
  <c r="I25" i="6"/>
  <c r="H25" i="6"/>
  <c r="G25" i="6"/>
  <c r="F25" i="6"/>
  <c r="E25" i="6"/>
  <c r="D25" i="6"/>
  <c r="C25" i="6"/>
  <c r="T24" i="6"/>
  <c r="R24" i="6"/>
  <c r="P24" i="6"/>
  <c r="O24" i="6"/>
  <c r="T23" i="6"/>
  <c r="R23" i="6"/>
  <c r="P23" i="6"/>
  <c r="O23" i="6"/>
  <c r="T22" i="6"/>
  <c r="R22" i="6"/>
  <c r="P22" i="6"/>
  <c r="O22" i="6"/>
  <c r="T21" i="6"/>
  <c r="R21" i="6"/>
  <c r="P21" i="6"/>
  <c r="O21" i="6"/>
  <c r="T20" i="6"/>
  <c r="R20" i="6"/>
  <c r="P20" i="6"/>
  <c r="O20" i="6"/>
  <c r="T19" i="6"/>
  <c r="R19" i="6"/>
  <c r="P19" i="6"/>
  <c r="O19" i="6"/>
  <c r="T18" i="6"/>
  <c r="R18" i="6"/>
  <c r="P18" i="6"/>
  <c r="O18" i="6"/>
  <c r="T17" i="6"/>
  <c r="R17" i="6"/>
  <c r="P17" i="6"/>
  <c r="O17" i="6"/>
  <c r="T16" i="6"/>
  <c r="R16" i="6"/>
  <c r="P16" i="6"/>
  <c r="O16" i="6"/>
  <c r="T15" i="6"/>
  <c r="R15" i="6"/>
  <c r="P15" i="6"/>
  <c r="O15" i="6"/>
  <c r="T14" i="6"/>
  <c r="R14" i="6"/>
  <c r="P14" i="6"/>
  <c r="O14" i="6"/>
  <c r="T13" i="6"/>
  <c r="R13" i="6"/>
  <c r="P13" i="6"/>
  <c r="O13" i="6"/>
  <c r="T12" i="6"/>
  <c r="R12" i="6"/>
  <c r="P12" i="6"/>
  <c r="O12" i="6"/>
  <c r="T11" i="6"/>
  <c r="R11" i="6"/>
  <c r="P11" i="6"/>
  <c r="O11" i="6"/>
  <c r="T10" i="6"/>
  <c r="R10" i="6"/>
  <c r="P10" i="6"/>
  <c r="O10" i="6"/>
  <c r="T9" i="6"/>
  <c r="R9" i="6"/>
  <c r="P9" i="6"/>
  <c r="O9" i="6"/>
  <c r="T8" i="6"/>
  <c r="R8" i="6"/>
  <c r="P8" i="6"/>
  <c r="O8" i="6"/>
  <c r="T7" i="6"/>
  <c r="R7" i="6"/>
  <c r="P7" i="6"/>
  <c r="O7" i="6"/>
  <c r="T6" i="6"/>
  <c r="R6" i="6"/>
  <c r="P6" i="6"/>
  <c r="O6" i="6"/>
  <c r="T5" i="6"/>
  <c r="R5" i="6"/>
  <c r="P5" i="6"/>
  <c r="O5" i="6"/>
  <c r="T4" i="6"/>
  <c r="R4" i="6"/>
  <c r="R25" i="6" s="1"/>
  <c r="P4" i="6"/>
  <c r="O4" i="6"/>
  <c r="O25" i="6" s="1"/>
  <c r="V4" i="13" l="1"/>
  <c r="V25" i="13" s="1"/>
  <c r="M28" i="13"/>
  <c r="T25" i="6"/>
  <c r="P25" i="6"/>
  <c r="AI24" i="21" l="1"/>
  <c r="AI25" i="21"/>
  <c r="AJ7" i="21"/>
  <c r="AJ8" i="21"/>
  <c r="AL8" i="21" s="1"/>
  <c r="AJ9" i="21"/>
  <c r="AL9" i="21" s="1"/>
  <c r="AJ10" i="21"/>
  <c r="AJ11" i="21"/>
  <c r="AJ12" i="21"/>
  <c r="AL12" i="21" s="1"/>
  <c r="AJ13" i="21"/>
  <c r="AK13" i="21" s="1"/>
  <c r="AJ14" i="21"/>
  <c r="AL14" i="21" s="1"/>
  <c r="AJ15" i="21"/>
  <c r="AL15" i="21" s="1"/>
  <c r="AJ16" i="21"/>
  <c r="AL16" i="21" s="1"/>
  <c r="AJ17" i="21"/>
  <c r="AK17" i="21" s="1"/>
  <c r="AJ18" i="21"/>
  <c r="AK18" i="21" s="1"/>
  <c r="AJ19" i="21"/>
  <c r="AK19" i="21" s="1"/>
  <c r="AJ20" i="21"/>
  <c r="AK20" i="21" s="1"/>
  <c r="AJ21" i="21"/>
  <c r="AK21" i="21" s="1"/>
  <c r="AJ22" i="21"/>
  <c r="AL22" i="21" s="1"/>
  <c r="AJ23" i="21"/>
  <c r="AL23" i="21" s="1"/>
  <c r="AJ6" i="21"/>
  <c r="AK6" i="21" s="1"/>
  <c r="AH25" i="19"/>
  <c r="AI4" i="19"/>
  <c r="AI5" i="19"/>
  <c r="AI6" i="19"/>
  <c r="AI7" i="19"/>
  <c r="AI9" i="19"/>
  <c r="AK14" i="19"/>
  <c r="AK15" i="19"/>
  <c r="AJ17" i="19"/>
  <c r="AK18" i="19"/>
  <c r="AK19" i="19"/>
  <c r="AI20" i="19"/>
  <c r="AI21" i="19"/>
  <c r="AI22" i="19"/>
  <c r="AK22" i="19" s="1"/>
  <c r="AI23" i="19"/>
  <c r="AJ23" i="19" s="1"/>
  <c r="AI3" i="19"/>
  <c r="AK3" i="19" s="1"/>
  <c r="AJ4" i="21"/>
  <c r="AL4" i="21" s="1"/>
  <c r="AJ5" i="21"/>
  <c r="AK23" i="21"/>
  <c r="AJ3" i="21"/>
  <c r="AK3" i="21" s="1"/>
  <c r="AF27" i="21"/>
  <c r="AF26" i="21" s="1"/>
  <c r="AE27" i="21"/>
  <c r="AE26" i="21" s="1"/>
  <c r="AD27" i="21"/>
  <c r="AD26" i="21" s="1"/>
  <c r="AC27" i="21"/>
  <c r="AC26" i="21" s="1"/>
  <c r="AB27" i="21"/>
  <c r="AB26" i="21" s="1"/>
  <c r="AA27" i="21"/>
  <c r="AA26" i="21" s="1"/>
  <c r="Z27" i="21"/>
  <c r="Z26" i="21" s="1"/>
  <c r="Y27" i="21"/>
  <c r="Y26" i="21" s="1"/>
  <c r="X27" i="21"/>
  <c r="W27" i="21"/>
  <c r="W26" i="21" s="1"/>
  <c r="V27" i="21"/>
  <c r="V26" i="21" s="1"/>
  <c r="U27" i="21"/>
  <c r="U26" i="21" s="1"/>
  <c r="T27" i="21"/>
  <c r="T26" i="21" s="1"/>
  <c r="S27" i="21"/>
  <c r="Q27" i="21"/>
  <c r="Q26" i="21" s="1"/>
  <c r="P27" i="21"/>
  <c r="O27" i="21"/>
  <c r="N27" i="21"/>
  <c r="N26" i="21" s="1"/>
  <c r="M27" i="21"/>
  <c r="M26" i="21" s="1"/>
  <c r="L27" i="21"/>
  <c r="L26" i="21" s="1"/>
  <c r="K27" i="21"/>
  <c r="K26" i="21" s="1"/>
  <c r="J27" i="21"/>
  <c r="J26" i="21" s="1"/>
  <c r="I27" i="21"/>
  <c r="I26" i="21" s="1"/>
  <c r="H27" i="21"/>
  <c r="G27" i="21"/>
  <c r="F27" i="21"/>
  <c r="F26" i="21" s="1"/>
  <c r="E27" i="21"/>
  <c r="E26" i="21" s="1"/>
  <c r="D27" i="21"/>
  <c r="D26" i="21" s="1"/>
  <c r="C27" i="21"/>
  <c r="C26" i="21" s="1"/>
  <c r="X26" i="21"/>
  <c r="S26" i="21"/>
  <c r="P26" i="21"/>
  <c r="O26" i="21"/>
  <c r="H26" i="21"/>
  <c r="G26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0" i="21"/>
  <c r="AH9" i="21"/>
  <c r="AH8" i="21"/>
  <c r="AH7" i="21"/>
  <c r="AH6" i="21"/>
  <c r="AL5" i="21"/>
  <c r="AK5" i="21"/>
  <c r="AH5" i="21"/>
  <c r="AH4" i="21"/>
  <c r="AH3" i="21"/>
  <c r="AK7" i="19"/>
  <c r="AK8" i="19"/>
  <c r="AJ9" i="19"/>
  <c r="AK10" i="19"/>
  <c r="AJ12" i="19"/>
  <c r="AK13" i="19"/>
  <c r="AK16" i="19"/>
  <c r="AK20" i="19"/>
  <c r="AK21" i="19"/>
  <c r="AK5" i="19"/>
  <c r="AH26" i="19"/>
  <c r="AF28" i="19"/>
  <c r="AF27" i="19" s="1"/>
  <c r="AE28" i="19"/>
  <c r="AE27" i="19" s="1"/>
  <c r="AD28" i="19"/>
  <c r="AD27" i="19" s="1"/>
  <c r="AC28" i="19"/>
  <c r="AC27" i="19" s="1"/>
  <c r="AB28" i="19"/>
  <c r="AB27" i="19" s="1"/>
  <c r="AA28" i="19"/>
  <c r="AA27" i="19" s="1"/>
  <c r="Z28" i="19"/>
  <c r="Z27" i="19" s="1"/>
  <c r="Y28" i="19"/>
  <c r="Y27" i="19" s="1"/>
  <c r="X28" i="19"/>
  <c r="W28" i="19"/>
  <c r="W27" i="19" s="1"/>
  <c r="V28" i="19"/>
  <c r="U28" i="19"/>
  <c r="U27" i="19" s="1"/>
  <c r="T28" i="19"/>
  <c r="T27" i="19" s="1"/>
  <c r="S28" i="19"/>
  <c r="S27" i="19" s="1"/>
  <c r="R27" i="19"/>
  <c r="Q28" i="19"/>
  <c r="Q27" i="19" s="1"/>
  <c r="P28" i="19"/>
  <c r="O28" i="19"/>
  <c r="O27" i="19" s="1"/>
  <c r="N28" i="19"/>
  <c r="N27" i="19" s="1"/>
  <c r="M28" i="19"/>
  <c r="M27" i="19" s="1"/>
  <c r="L28" i="19"/>
  <c r="L27" i="19" s="1"/>
  <c r="K28" i="19"/>
  <c r="J28" i="19"/>
  <c r="J27" i="19" s="1"/>
  <c r="I28" i="19"/>
  <c r="I27" i="19" s="1"/>
  <c r="H28" i="19"/>
  <c r="H27" i="19" s="1"/>
  <c r="G28" i="19"/>
  <c r="G27" i="19" s="1"/>
  <c r="F28" i="19"/>
  <c r="F27" i="19" s="1"/>
  <c r="E28" i="19"/>
  <c r="D28" i="19"/>
  <c r="C28" i="19"/>
  <c r="X27" i="19"/>
  <c r="V27" i="19"/>
  <c r="P27" i="19"/>
  <c r="K27" i="19"/>
  <c r="E27" i="19"/>
  <c r="D27" i="19"/>
  <c r="C27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AG23" i="19"/>
  <c r="AG22" i="19"/>
  <c r="AG21" i="19"/>
  <c r="AG20" i="19"/>
  <c r="AG19" i="19"/>
  <c r="AG18" i="19"/>
  <c r="AG17" i="19"/>
  <c r="AG16" i="19"/>
  <c r="AG15" i="19"/>
  <c r="AG14" i="19"/>
  <c r="AG13" i="19"/>
  <c r="AG12" i="19"/>
  <c r="AG10" i="19"/>
  <c r="AG9" i="19"/>
  <c r="AG8" i="19"/>
  <c r="AG7" i="19"/>
  <c r="AG6" i="19"/>
  <c r="AJ5" i="19"/>
  <c r="AG5" i="19"/>
  <c r="AK4" i="19"/>
  <c r="AJ4" i="19"/>
  <c r="AG4" i="19"/>
  <c r="AG3" i="19"/>
  <c r="AL20" i="21" l="1"/>
  <c r="AL3" i="21"/>
  <c r="AK4" i="21"/>
  <c r="AK12" i="21"/>
  <c r="AK16" i="21"/>
  <c r="AJ24" i="21"/>
  <c r="AK24" i="21" s="1"/>
  <c r="AL10" i="21"/>
  <c r="AJ25" i="21"/>
  <c r="AK22" i="21"/>
  <c r="AL18" i="21"/>
  <c r="AL17" i="21"/>
  <c r="AL21" i="21"/>
  <c r="AL13" i="21"/>
  <c r="AK10" i="21"/>
  <c r="AK14" i="21"/>
  <c r="AK9" i="21"/>
  <c r="AJ14" i="19"/>
  <c r="AL7" i="21"/>
  <c r="AK15" i="21"/>
  <c r="AK7" i="21"/>
  <c r="AK8" i="21"/>
  <c r="AL19" i="21"/>
  <c r="AL6" i="21"/>
  <c r="AJ18" i="19"/>
  <c r="AK9" i="19"/>
  <c r="AK17" i="19"/>
  <c r="AJ13" i="19"/>
  <c r="AK12" i="19"/>
  <c r="AJ16" i="19"/>
  <c r="AJ20" i="19"/>
  <c r="AJ21" i="19"/>
  <c r="AI25" i="19"/>
  <c r="AJ25" i="19" s="1"/>
  <c r="AI26" i="19"/>
  <c r="AJ10" i="19"/>
  <c r="AJ15" i="19"/>
  <c r="AJ22" i="19"/>
  <c r="AK23" i="19"/>
  <c r="AJ3" i="19"/>
  <c r="AJ6" i="19"/>
  <c r="AJ7" i="19"/>
  <c r="AJ8" i="19"/>
  <c r="AK6" i="19"/>
  <c r="AJ19" i="19"/>
  <c r="AI25" i="17"/>
  <c r="AJ7" i="17"/>
  <c r="AJ8" i="17"/>
  <c r="AL8" i="17" s="1"/>
  <c r="AK9" i="17"/>
  <c r="AL10" i="17"/>
  <c r="AK13" i="17"/>
  <c r="AL17" i="17"/>
  <c r="AL18" i="17"/>
  <c r="AJ19" i="17"/>
  <c r="AL19" i="17" s="1"/>
  <c r="AL21" i="17"/>
  <c r="AJ23" i="17"/>
  <c r="AL23" i="17" s="1"/>
  <c r="AK14" i="17"/>
  <c r="AJ6" i="17"/>
  <c r="AJ24" i="17" s="1"/>
  <c r="AK24" i="17" s="1"/>
  <c r="AI24" i="17"/>
  <c r="AJ4" i="17"/>
  <c r="AJ5" i="17"/>
  <c r="AL5" i="17" s="1"/>
  <c r="AK12" i="17"/>
  <c r="AL15" i="17"/>
  <c r="AL20" i="17"/>
  <c r="AL22" i="17"/>
  <c r="AJ3" i="17"/>
  <c r="AL3" i="17" s="1"/>
  <c r="R6" i="1"/>
  <c r="U6" i="1"/>
  <c r="V6" i="1"/>
  <c r="R7" i="1"/>
  <c r="U7" i="1"/>
  <c r="V7" i="1"/>
  <c r="U3" i="1"/>
  <c r="V3" i="1"/>
  <c r="Z3" i="1"/>
  <c r="AL4" i="17"/>
  <c r="AL16" i="17"/>
  <c r="AF27" i="17"/>
  <c r="AF26" i="17" s="1"/>
  <c r="AE27" i="17"/>
  <c r="AE26" i="17" s="1"/>
  <c r="AD27" i="17"/>
  <c r="AC27" i="17"/>
  <c r="AC26" i="17" s="1"/>
  <c r="AB27" i="17"/>
  <c r="AB26" i="17" s="1"/>
  <c r="AA27" i="17"/>
  <c r="AA26" i="17" s="1"/>
  <c r="Z27" i="17"/>
  <c r="Z26" i="17" s="1"/>
  <c r="Y27" i="17"/>
  <c r="Y26" i="17" s="1"/>
  <c r="X27" i="17"/>
  <c r="X26" i="17" s="1"/>
  <c r="W27" i="17"/>
  <c r="W26" i="17" s="1"/>
  <c r="V27" i="17"/>
  <c r="U27" i="17"/>
  <c r="U26" i="17" s="1"/>
  <c r="T27" i="17"/>
  <c r="T26" i="17" s="1"/>
  <c r="S27" i="17"/>
  <c r="R26" i="17"/>
  <c r="Q27" i="17"/>
  <c r="Q26" i="17" s="1"/>
  <c r="P27" i="17"/>
  <c r="P26" i="17" s="1"/>
  <c r="O27" i="17"/>
  <c r="O26" i="17" s="1"/>
  <c r="N27" i="17"/>
  <c r="N26" i="17" s="1"/>
  <c r="M27" i="17"/>
  <c r="M26" i="17" s="1"/>
  <c r="L27" i="17"/>
  <c r="L26" i="17" s="1"/>
  <c r="K27" i="17"/>
  <c r="K26" i="17" s="1"/>
  <c r="J27" i="17"/>
  <c r="J26" i="17" s="1"/>
  <c r="I27" i="17"/>
  <c r="I26" i="17" s="1"/>
  <c r="H27" i="17"/>
  <c r="H26" i="17" s="1"/>
  <c r="G27" i="17"/>
  <c r="F27" i="17"/>
  <c r="F26" i="17" s="1"/>
  <c r="E27" i="17"/>
  <c r="E26" i="17" s="1"/>
  <c r="D27" i="17"/>
  <c r="D26" i="17" s="1"/>
  <c r="C27" i="17"/>
  <c r="C26" i="17" s="1"/>
  <c r="AD26" i="17"/>
  <c r="V26" i="17"/>
  <c r="S26" i="17"/>
  <c r="G26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AH23" i="17"/>
  <c r="AH22" i="17"/>
  <c r="AH21" i="17"/>
  <c r="AH20" i="17"/>
  <c r="AH19" i="17"/>
  <c r="AH18" i="17"/>
  <c r="AH17" i="17"/>
  <c r="AH16" i="17"/>
  <c r="AH15" i="17"/>
  <c r="AH14" i="17"/>
  <c r="AH13" i="17"/>
  <c r="AH12" i="17"/>
  <c r="AH10" i="17"/>
  <c r="AH9" i="17"/>
  <c r="AH8" i="17"/>
  <c r="AH7" i="17"/>
  <c r="AH6" i="17"/>
  <c r="AH5" i="17"/>
  <c r="AH4" i="17"/>
  <c r="AH3" i="17"/>
  <c r="K4" i="15"/>
  <c r="K9" i="15"/>
  <c r="K10" i="15"/>
  <c r="K3" i="15"/>
  <c r="K13" i="15"/>
  <c r="K14" i="15"/>
  <c r="K18" i="15"/>
  <c r="K16" i="15"/>
  <c r="K15" i="15"/>
  <c r="K19" i="15"/>
  <c r="K6" i="15"/>
  <c r="K11" i="15"/>
  <c r="K12" i="15"/>
  <c r="AF24" i="14"/>
  <c r="Y25" i="1"/>
  <c r="AJ7" i="14"/>
  <c r="AK7" i="14" s="1"/>
  <c r="AJ8" i="14"/>
  <c r="AK8" i="14" s="1"/>
  <c r="AJ9" i="14"/>
  <c r="AK9" i="14" s="1"/>
  <c r="AJ10" i="14"/>
  <c r="AK10" i="14" s="1"/>
  <c r="AJ11" i="14"/>
  <c r="AJ12" i="14"/>
  <c r="AK12" i="14" s="1"/>
  <c r="AJ13" i="14"/>
  <c r="AK13" i="14" s="1"/>
  <c r="AJ14" i="14"/>
  <c r="AK14" i="14" s="1"/>
  <c r="AK15" i="14"/>
  <c r="AJ16" i="14"/>
  <c r="AK16" i="14" s="1"/>
  <c r="AK17" i="14"/>
  <c r="AK18" i="14"/>
  <c r="AJ19" i="14"/>
  <c r="AK19" i="14" s="1"/>
  <c r="AJ20" i="14"/>
  <c r="AK20" i="14" s="1"/>
  <c r="AJ21" i="14"/>
  <c r="AK21" i="14" s="1"/>
  <c r="AJ22" i="14"/>
  <c r="AK22" i="14" s="1"/>
  <c r="AJ6" i="14"/>
  <c r="AK6" i="14" s="1"/>
  <c r="AH12" i="14"/>
  <c r="AH10" i="14"/>
  <c r="AI24" i="14"/>
  <c r="AJ4" i="14"/>
  <c r="AK4" i="14" s="1"/>
  <c r="AJ5" i="14"/>
  <c r="AK5" i="14" s="1"/>
  <c r="AJ23" i="14"/>
  <c r="AK23" i="14" s="1"/>
  <c r="AJ3" i="14"/>
  <c r="AK3" i="14" s="1"/>
  <c r="Z4" i="1"/>
  <c r="Z5" i="1"/>
  <c r="Z6" i="1"/>
  <c r="Z7" i="1"/>
  <c r="Z8" i="1"/>
  <c r="Z9" i="1"/>
  <c r="Z11" i="1"/>
  <c r="Z12" i="1"/>
  <c r="Z13" i="1"/>
  <c r="Z14" i="1"/>
  <c r="Z15" i="1"/>
  <c r="Z16" i="1"/>
  <c r="Z17" i="1"/>
  <c r="Z18" i="1"/>
  <c r="Z19" i="1"/>
  <c r="Z20" i="1"/>
  <c r="Z21" i="1"/>
  <c r="Z22" i="1"/>
  <c r="Z10" i="1"/>
  <c r="Z23" i="1"/>
  <c r="AF27" i="14"/>
  <c r="AF26" i="14" s="1"/>
  <c r="AE27" i="14"/>
  <c r="AE26" i="14" s="1"/>
  <c r="AD27" i="14"/>
  <c r="AD26" i="14" s="1"/>
  <c r="AC27" i="14"/>
  <c r="AC26" i="14" s="1"/>
  <c r="AB27" i="14"/>
  <c r="AB26" i="14" s="1"/>
  <c r="AA27" i="14"/>
  <c r="AA26" i="14" s="1"/>
  <c r="Z27" i="14"/>
  <c r="Z26" i="14" s="1"/>
  <c r="Y27" i="14"/>
  <c r="Y26" i="14" s="1"/>
  <c r="X27" i="14"/>
  <c r="X26" i="14" s="1"/>
  <c r="W27" i="14"/>
  <c r="W26" i="14" s="1"/>
  <c r="V27" i="14"/>
  <c r="V26" i="14" s="1"/>
  <c r="U27" i="14"/>
  <c r="U26" i="14" s="1"/>
  <c r="T27" i="14"/>
  <c r="T26" i="14" s="1"/>
  <c r="S27" i="14"/>
  <c r="S26" i="14" s="1"/>
  <c r="R26" i="14"/>
  <c r="Q27" i="14"/>
  <c r="Q26" i="14" s="1"/>
  <c r="P27" i="14"/>
  <c r="P26" i="14" s="1"/>
  <c r="O27" i="14"/>
  <c r="O26" i="14" s="1"/>
  <c r="N27" i="14"/>
  <c r="N26" i="14" s="1"/>
  <c r="M27" i="14"/>
  <c r="M26" i="14" s="1"/>
  <c r="L27" i="14"/>
  <c r="L26" i="14" s="1"/>
  <c r="K27" i="14"/>
  <c r="K26" i="14" s="1"/>
  <c r="J27" i="14"/>
  <c r="J26" i="14" s="1"/>
  <c r="I27" i="14"/>
  <c r="I26" i="14" s="1"/>
  <c r="H27" i="14"/>
  <c r="H26" i="14" s="1"/>
  <c r="G27" i="14"/>
  <c r="G26" i="14" s="1"/>
  <c r="F27" i="14"/>
  <c r="F26" i="14" s="1"/>
  <c r="E27" i="14"/>
  <c r="E26" i="14" s="1"/>
  <c r="D27" i="14"/>
  <c r="D26" i="14" s="1"/>
  <c r="C27" i="14"/>
  <c r="C26" i="14" s="1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AH23" i="14"/>
  <c r="AH22" i="14"/>
  <c r="AH21" i="14"/>
  <c r="AH20" i="14"/>
  <c r="AH19" i="14"/>
  <c r="AH18" i="14"/>
  <c r="AH17" i="14"/>
  <c r="AH16" i="14"/>
  <c r="AH15" i="14"/>
  <c r="AH14" i="14"/>
  <c r="AH13" i="14"/>
  <c r="AH9" i="14"/>
  <c r="AH8" i="14"/>
  <c r="AH7" i="14"/>
  <c r="AH6" i="14"/>
  <c r="AH5" i="14"/>
  <c r="AH4" i="14"/>
  <c r="AH3" i="14"/>
  <c r="AI7" i="7"/>
  <c r="AJ25" i="17" l="1"/>
  <c r="K21" i="15"/>
  <c r="AK6" i="17"/>
  <c r="AK7" i="17"/>
  <c r="AK15" i="17"/>
  <c r="K20" i="15"/>
  <c r="L20" i="15" s="1"/>
  <c r="AK5" i="17"/>
  <c r="AK4" i="17"/>
  <c r="AK18" i="17"/>
  <c r="AK8" i="17"/>
  <c r="AK17" i="17"/>
  <c r="AK3" i="17"/>
  <c r="AL14" i="17"/>
  <c r="AL12" i="17"/>
  <c r="AL13" i="17"/>
  <c r="AL7" i="17"/>
  <c r="AL6" i="17"/>
  <c r="AK10" i="17"/>
  <c r="AK16" i="17"/>
  <c r="AL9" i="17"/>
  <c r="AK19" i="17"/>
  <c r="AK20" i="17"/>
  <c r="AK21" i="17"/>
  <c r="AK22" i="17"/>
  <c r="AK23" i="17"/>
  <c r="AL12" i="14"/>
  <c r="AL3" i="14"/>
  <c r="AL4" i="14"/>
  <c r="AL5" i="14"/>
  <c r="AL6" i="14"/>
  <c r="AL7" i="14"/>
  <c r="AL8" i="14"/>
  <c r="AL9" i="14"/>
  <c r="AL13" i="14"/>
  <c r="AL14" i="14"/>
  <c r="AL15" i="14"/>
  <c r="AL16" i="14"/>
  <c r="AL17" i="14"/>
  <c r="AL18" i="14"/>
  <c r="AL19" i="14"/>
  <c r="AL20" i="14"/>
  <c r="AL21" i="14"/>
  <c r="AL22" i="14"/>
  <c r="AL10" i="14"/>
  <c r="AL23" i="14"/>
  <c r="AJ24" i="14"/>
  <c r="AK24" i="14" s="1"/>
  <c r="AI6" i="7"/>
  <c r="AJ6" i="7" s="1"/>
  <c r="AG22" i="7"/>
  <c r="AF27" i="7"/>
  <c r="AF26" i="7" s="1"/>
  <c r="AE27" i="7"/>
  <c r="AE26" i="7" s="1"/>
  <c r="AD27" i="7"/>
  <c r="AD26" i="7" s="1"/>
  <c r="AC27" i="7"/>
  <c r="AC26" i="7" s="1"/>
  <c r="AB27" i="7"/>
  <c r="AB26" i="7" s="1"/>
  <c r="AA27" i="7"/>
  <c r="AA26" i="7" s="1"/>
  <c r="Z27" i="7"/>
  <c r="Z26" i="7" s="1"/>
  <c r="Y27" i="7"/>
  <c r="Y26" i="7" s="1"/>
  <c r="X27" i="7"/>
  <c r="X26" i="7" s="1"/>
  <c r="W27" i="7"/>
  <c r="W26" i="7" s="1"/>
  <c r="V27" i="7"/>
  <c r="V26" i="7" s="1"/>
  <c r="U27" i="7"/>
  <c r="U26" i="7" s="1"/>
  <c r="T27" i="7"/>
  <c r="T26" i="7" s="1"/>
  <c r="S27" i="7"/>
  <c r="S26" i="7" s="1"/>
  <c r="Q27" i="7"/>
  <c r="Q26" i="7" s="1"/>
  <c r="P27" i="7"/>
  <c r="P26" i="7" s="1"/>
  <c r="O27" i="7"/>
  <c r="O26" i="7" s="1"/>
  <c r="N27" i="7"/>
  <c r="M27" i="7"/>
  <c r="M26" i="7" s="1"/>
  <c r="L27" i="7"/>
  <c r="L26" i="7" s="1"/>
  <c r="K27" i="7"/>
  <c r="K26" i="7" s="1"/>
  <c r="J27" i="7"/>
  <c r="J26" i="7" s="1"/>
  <c r="I27" i="7"/>
  <c r="I26" i="7" s="1"/>
  <c r="H27" i="7"/>
  <c r="H26" i="7" s="1"/>
  <c r="G27" i="7"/>
  <c r="G26" i="7" s="1"/>
  <c r="F27" i="7"/>
  <c r="E27" i="7"/>
  <c r="E26" i="7" s="1"/>
  <c r="D27" i="7"/>
  <c r="D26" i="7" s="1"/>
  <c r="C27" i="7"/>
  <c r="C26" i="7" s="1"/>
  <c r="R26" i="7"/>
  <c r="N26" i="7"/>
  <c r="F26" i="7"/>
  <c r="AH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I23" i="7"/>
  <c r="AK23" i="7" s="1"/>
  <c r="AG23" i="7"/>
  <c r="AI10" i="7"/>
  <c r="AJ10" i="7" s="1"/>
  <c r="AG10" i="7"/>
  <c r="AI22" i="7"/>
  <c r="AK22" i="7" s="1"/>
  <c r="AI21" i="7"/>
  <c r="AJ21" i="7" s="1"/>
  <c r="AG21" i="7"/>
  <c r="AI20" i="7"/>
  <c r="AK20" i="7" s="1"/>
  <c r="AG20" i="7"/>
  <c r="AI19" i="7"/>
  <c r="AJ19" i="7" s="1"/>
  <c r="AG19" i="7"/>
  <c r="AI18" i="7"/>
  <c r="AK18" i="7" s="1"/>
  <c r="AG18" i="7"/>
  <c r="AI17" i="7"/>
  <c r="AJ17" i="7" s="1"/>
  <c r="AG17" i="7"/>
  <c r="AI16" i="7"/>
  <c r="AK16" i="7" s="1"/>
  <c r="AG16" i="7"/>
  <c r="AI15" i="7"/>
  <c r="AJ15" i="7" s="1"/>
  <c r="AG15" i="7"/>
  <c r="AI14" i="7"/>
  <c r="AK14" i="7" s="1"/>
  <c r="AG14" i="7"/>
  <c r="AI13" i="7"/>
  <c r="AJ13" i="7" s="1"/>
  <c r="AG13" i="7"/>
  <c r="AI12" i="7"/>
  <c r="AK12" i="7" s="1"/>
  <c r="AG12" i="7"/>
  <c r="AI9" i="7"/>
  <c r="AK9" i="7" s="1"/>
  <c r="AG9" i="7"/>
  <c r="AI8" i="7"/>
  <c r="AJ8" i="7" s="1"/>
  <c r="AG8" i="7"/>
  <c r="AK7" i="7"/>
  <c r="AG7" i="7"/>
  <c r="AG6" i="7"/>
  <c r="AI5" i="7"/>
  <c r="AK5" i="7" s="1"/>
  <c r="AG5" i="7"/>
  <c r="AI4" i="7"/>
  <c r="AJ4" i="7" s="1"/>
  <c r="AG4" i="7"/>
  <c r="AI3" i="7"/>
  <c r="AK3" i="7" s="1"/>
  <c r="AG3" i="7"/>
  <c r="AI24" i="5"/>
  <c r="AJ9" i="5"/>
  <c r="AJ12" i="5"/>
  <c r="AJ13" i="5"/>
  <c r="AJ14" i="5"/>
  <c r="AJ15" i="5"/>
  <c r="AJ16" i="5"/>
  <c r="AJ17" i="5"/>
  <c r="AJ18" i="5"/>
  <c r="AJ19" i="5"/>
  <c r="AJ20" i="5"/>
  <c r="AJ21" i="5"/>
  <c r="AJ22" i="5"/>
  <c r="AJ10" i="5"/>
  <c r="AJ23" i="5"/>
  <c r="AJ3" i="5"/>
  <c r="AJ4" i="5"/>
  <c r="AJ5" i="5"/>
  <c r="AJ6" i="5"/>
  <c r="AJ7" i="5"/>
  <c r="AJ8" i="5"/>
  <c r="AK10" i="7" l="1"/>
  <c r="AJ24" i="5"/>
  <c r="AK8" i="7"/>
  <c r="AK19" i="7"/>
  <c r="AK4" i="7"/>
  <c r="AK13" i="7"/>
  <c r="AK21" i="7"/>
  <c r="AK6" i="7"/>
  <c r="AK17" i="7"/>
  <c r="AK15" i="7"/>
  <c r="AJ3" i="7"/>
  <c r="AJ5" i="7"/>
  <c r="AJ7" i="7"/>
  <c r="AJ9" i="7"/>
  <c r="AJ12" i="7"/>
  <c r="AJ14" i="7"/>
  <c r="AJ16" i="7"/>
  <c r="AJ18" i="7"/>
  <c r="AJ20" i="7"/>
  <c r="AJ22" i="7"/>
  <c r="AJ23" i="7"/>
  <c r="AI24" i="7"/>
  <c r="AJ24" i="7" s="1"/>
  <c r="AK24" i="5"/>
  <c r="Y26" i="1" l="1"/>
  <c r="T24" i="5"/>
  <c r="R24" i="5"/>
  <c r="AL20" i="5"/>
  <c r="AI24" i="2"/>
  <c r="AH24" i="3"/>
  <c r="G27" i="5"/>
  <c r="G26" i="5" s="1"/>
  <c r="G24" i="5"/>
  <c r="X25" i="1"/>
  <c r="AF27" i="5"/>
  <c r="AF26" i="5" s="1"/>
  <c r="AE27" i="5"/>
  <c r="AD27" i="5"/>
  <c r="AD26" i="5" s="1"/>
  <c r="AC27" i="5"/>
  <c r="AC26" i="5" s="1"/>
  <c r="AB27" i="5"/>
  <c r="AB26" i="5" s="1"/>
  <c r="AA27" i="5"/>
  <c r="AA26" i="5" s="1"/>
  <c r="Z27" i="5"/>
  <c r="Z26" i="5" s="1"/>
  <c r="Y27" i="5"/>
  <c r="Y26" i="5" s="1"/>
  <c r="X27" i="5"/>
  <c r="X26" i="5" s="1"/>
  <c r="W27" i="5"/>
  <c r="W26" i="5" s="1"/>
  <c r="V27" i="5"/>
  <c r="U27" i="5"/>
  <c r="U26" i="5" s="1"/>
  <c r="T27" i="5"/>
  <c r="T26" i="5" s="1"/>
  <c r="S27" i="5"/>
  <c r="S26" i="5" s="1"/>
  <c r="R26" i="5"/>
  <c r="Q27" i="5"/>
  <c r="Q26" i="5" s="1"/>
  <c r="P27" i="5"/>
  <c r="P26" i="5" s="1"/>
  <c r="O27" i="5"/>
  <c r="O26" i="5" s="1"/>
  <c r="N27" i="5"/>
  <c r="N26" i="5" s="1"/>
  <c r="M27" i="5"/>
  <c r="M26" i="5" s="1"/>
  <c r="L27" i="5"/>
  <c r="L26" i="5" s="1"/>
  <c r="K27" i="5"/>
  <c r="K26" i="5" s="1"/>
  <c r="J27" i="5"/>
  <c r="J26" i="5" s="1"/>
  <c r="I27" i="5"/>
  <c r="I26" i="5" s="1"/>
  <c r="H27" i="5"/>
  <c r="H26" i="5" s="1"/>
  <c r="F27" i="5"/>
  <c r="F26" i="5" s="1"/>
  <c r="E27" i="5"/>
  <c r="E26" i="5" s="1"/>
  <c r="D27" i="5"/>
  <c r="D26" i="5" s="1"/>
  <c r="C27" i="5"/>
  <c r="C26" i="5" s="1"/>
  <c r="AE26" i="5"/>
  <c r="V26" i="5"/>
  <c r="AF24" i="5"/>
  <c r="AE24" i="5"/>
  <c r="AD24" i="5"/>
  <c r="AC24" i="5"/>
  <c r="AB24" i="5"/>
  <c r="AA24" i="5"/>
  <c r="Z24" i="5"/>
  <c r="Y24" i="5"/>
  <c r="X24" i="5"/>
  <c r="W24" i="5"/>
  <c r="V24" i="5"/>
  <c r="U24" i="5"/>
  <c r="S24" i="5"/>
  <c r="Q24" i="5"/>
  <c r="P24" i="5"/>
  <c r="O24" i="5"/>
  <c r="N24" i="5"/>
  <c r="M24" i="5"/>
  <c r="L24" i="5"/>
  <c r="K24" i="5"/>
  <c r="J24" i="5"/>
  <c r="I24" i="5"/>
  <c r="H24" i="5"/>
  <c r="F24" i="5"/>
  <c r="E24" i="5"/>
  <c r="D24" i="5"/>
  <c r="C24" i="5"/>
  <c r="AL23" i="5"/>
  <c r="AH23" i="5"/>
  <c r="AL10" i="5"/>
  <c r="AH10" i="5"/>
  <c r="AL22" i="5"/>
  <c r="AH22" i="5"/>
  <c r="AL21" i="5"/>
  <c r="AH21" i="5"/>
  <c r="AH20" i="5"/>
  <c r="AL19" i="5"/>
  <c r="AH19" i="5"/>
  <c r="AL18" i="5"/>
  <c r="AH18" i="5"/>
  <c r="AL17" i="5"/>
  <c r="AH17" i="5"/>
  <c r="AL16" i="5"/>
  <c r="AH16" i="5"/>
  <c r="AL15" i="5"/>
  <c r="AH15" i="5"/>
  <c r="AL14" i="5"/>
  <c r="AH14" i="5"/>
  <c r="AL13" i="5"/>
  <c r="AH13" i="5"/>
  <c r="AL12" i="5"/>
  <c r="AH12" i="5"/>
  <c r="AL9" i="5"/>
  <c r="AH9" i="5"/>
  <c r="AL8" i="5"/>
  <c r="AH8" i="5"/>
  <c r="AL7" i="5"/>
  <c r="AH7" i="5"/>
  <c r="AL6" i="5"/>
  <c r="AH6" i="5"/>
  <c r="AL5" i="5"/>
  <c r="AH5" i="5"/>
  <c r="AL4" i="5"/>
  <c r="AH4" i="5"/>
  <c r="AH3" i="5"/>
  <c r="AK3" i="5" l="1"/>
  <c r="AK5" i="5"/>
  <c r="AK7" i="5"/>
  <c r="AK9" i="5"/>
  <c r="AK12" i="5"/>
  <c r="AK14" i="5"/>
  <c r="AK16" i="5"/>
  <c r="AK18" i="5"/>
  <c r="AK20" i="5"/>
  <c r="AK22" i="5"/>
  <c r="AK23" i="5"/>
  <c r="AL3" i="5"/>
  <c r="AK4" i="5"/>
  <c r="AK6" i="5"/>
  <c r="AK8" i="5"/>
  <c r="AK13" i="5"/>
  <c r="AK15" i="5"/>
  <c r="AK17" i="5"/>
  <c r="AK19" i="5"/>
  <c r="AK21" i="5"/>
  <c r="AK10" i="5"/>
  <c r="AI6" i="3" l="1"/>
  <c r="AF27" i="3"/>
  <c r="AF26" i="3" s="1"/>
  <c r="AE27" i="3"/>
  <c r="AE26" i="3" s="1"/>
  <c r="AD27" i="3"/>
  <c r="AC27" i="3"/>
  <c r="AC26" i="3" s="1"/>
  <c r="AB27" i="3"/>
  <c r="AB26" i="3" s="1"/>
  <c r="AA27" i="3"/>
  <c r="AA26" i="3" s="1"/>
  <c r="Z27" i="3"/>
  <c r="Z26" i="3" s="1"/>
  <c r="Y27" i="3"/>
  <c r="Y26" i="3" s="1"/>
  <c r="X27" i="3"/>
  <c r="X26" i="3" s="1"/>
  <c r="W27" i="3"/>
  <c r="W26" i="3" s="1"/>
  <c r="V27" i="3"/>
  <c r="V26" i="3" s="1"/>
  <c r="U27" i="3"/>
  <c r="U26" i="3" s="1"/>
  <c r="T27" i="3"/>
  <c r="T26" i="3" s="1"/>
  <c r="S27" i="3"/>
  <c r="S26" i="3" s="1"/>
  <c r="R27" i="3"/>
  <c r="R26" i="3" s="1"/>
  <c r="Q27" i="3"/>
  <c r="Q26" i="3" s="1"/>
  <c r="P27" i="3"/>
  <c r="P26" i="3" s="1"/>
  <c r="O27" i="3"/>
  <c r="O26" i="3" s="1"/>
  <c r="N27" i="3"/>
  <c r="N26" i="3" s="1"/>
  <c r="M27" i="3"/>
  <c r="M26" i="3" s="1"/>
  <c r="L27" i="3"/>
  <c r="L26" i="3" s="1"/>
  <c r="K27" i="3"/>
  <c r="K26" i="3" s="1"/>
  <c r="J27" i="3"/>
  <c r="J26" i="3" s="1"/>
  <c r="I27" i="3"/>
  <c r="I26" i="3" s="1"/>
  <c r="H27" i="3"/>
  <c r="H26" i="3" s="1"/>
  <c r="G27" i="3"/>
  <c r="G26" i="3" s="1"/>
  <c r="F27" i="3"/>
  <c r="F26" i="3" s="1"/>
  <c r="E27" i="3"/>
  <c r="E26" i="3" s="1"/>
  <c r="D27" i="3"/>
  <c r="D26" i="3" s="1"/>
  <c r="C27" i="3"/>
  <c r="C26" i="3" s="1"/>
  <c r="AD26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AI23" i="3"/>
  <c r="AK23" i="3" s="1"/>
  <c r="AG23" i="3"/>
  <c r="AI10" i="3"/>
  <c r="AK10" i="3" s="1"/>
  <c r="AG10" i="3"/>
  <c r="AI22" i="3"/>
  <c r="AK22" i="3" s="1"/>
  <c r="AG22" i="3"/>
  <c r="AI21" i="3"/>
  <c r="AK21" i="3" s="1"/>
  <c r="AG21" i="3"/>
  <c r="AI20" i="3"/>
  <c r="AK20" i="3" s="1"/>
  <c r="AG20" i="3"/>
  <c r="AI19" i="3"/>
  <c r="AJ19" i="3" s="1"/>
  <c r="AG19" i="3"/>
  <c r="AI18" i="3"/>
  <c r="AK18" i="3" s="1"/>
  <c r="AG18" i="3"/>
  <c r="AI17" i="3"/>
  <c r="AK17" i="3" s="1"/>
  <c r="AG17" i="3"/>
  <c r="AI16" i="3"/>
  <c r="AK16" i="3" s="1"/>
  <c r="AG16" i="3"/>
  <c r="AI15" i="3"/>
  <c r="AK15" i="3" s="1"/>
  <c r="AG15" i="3"/>
  <c r="AI14" i="3"/>
  <c r="AJ14" i="3" s="1"/>
  <c r="AG14" i="3"/>
  <c r="AI13" i="3"/>
  <c r="AK13" i="3" s="1"/>
  <c r="AG13" i="3"/>
  <c r="AI12" i="3"/>
  <c r="AK12" i="3" s="1"/>
  <c r="AG12" i="3"/>
  <c r="AI11" i="3"/>
  <c r="AK11" i="3" s="1"/>
  <c r="AG11" i="3"/>
  <c r="AI9" i="3"/>
  <c r="AK9" i="3" s="1"/>
  <c r="AG9" i="3"/>
  <c r="AI8" i="3"/>
  <c r="AK8" i="3" s="1"/>
  <c r="AG8" i="3"/>
  <c r="AI7" i="3"/>
  <c r="AJ7" i="3" s="1"/>
  <c r="AG7" i="3"/>
  <c r="AG6" i="3"/>
  <c r="AJ5" i="3"/>
  <c r="AI5" i="3"/>
  <c r="AK5" i="3" s="1"/>
  <c r="AG5" i="3"/>
  <c r="AI4" i="3"/>
  <c r="AK4" i="3" s="1"/>
  <c r="AG4" i="3"/>
  <c r="AI3" i="3"/>
  <c r="AK3" i="3" s="1"/>
  <c r="AG3" i="3"/>
  <c r="AJ6" i="2"/>
  <c r="C24" i="2"/>
  <c r="C27" i="2"/>
  <c r="C26" i="2" s="1"/>
  <c r="AH6" i="2"/>
  <c r="R27" i="2"/>
  <c r="R24" i="2"/>
  <c r="AJ3" i="3" l="1"/>
  <c r="AJ6" i="3"/>
  <c r="AK14" i="3"/>
  <c r="AJ20" i="3"/>
  <c r="AJ18" i="3"/>
  <c r="AJ12" i="3"/>
  <c r="AJ9" i="3"/>
  <c r="AJ22" i="3"/>
  <c r="AJ16" i="3"/>
  <c r="AJ23" i="3"/>
  <c r="AK7" i="3"/>
  <c r="AJ10" i="3"/>
  <c r="AJ8" i="3"/>
  <c r="AJ15" i="3"/>
  <c r="AJ21" i="3"/>
  <c r="AJ4" i="3"/>
  <c r="AJ13" i="3"/>
  <c r="AJ17" i="3"/>
  <c r="AK6" i="3"/>
  <c r="AK19" i="3"/>
  <c r="AJ11" i="3"/>
  <c r="Q24" i="2"/>
  <c r="P24" i="2"/>
  <c r="O27" i="2"/>
  <c r="O26" i="2" s="1"/>
  <c r="P27" i="2"/>
  <c r="P26" i="2" s="1"/>
  <c r="Q27" i="2"/>
  <c r="Q26" i="2" s="1"/>
  <c r="R26" i="2"/>
  <c r="S27" i="2"/>
  <c r="S26" i="2" s="1"/>
  <c r="T27" i="2"/>
  <c r="T26" i="2" s="1"/>
  <c r="U27" i="2"/>
  <c r="U26" i="2" s="1"/>
  <c r="V27" i="2"/>
  <c r="V26" i="2" s="1"/>
  <c r="W27" i="2"/>
  <c r="W26" i="2" s="1"/>
  <c r="X27" i="2"/>
  <c r="X26" i="2" s="1"/>
  <c r="Y27" i="2"/>
  <c r="Y26" i="2" s="1"/>
  <c r="Z27" i="2"/>
  <c r="Z26" i="2" s="1"/>
  <c r="AA27" i="2"/>
  <c r="AA26" i="2" s="1"/>
  <c r="AB27" i="2"/>
  <c r="AB26" i="2" s="1"/>
  <c r="AC27" i="2"/>
  <c r="AC26" i="2" s="1"/>
  <c r="AD27" i="2"/>
  <c r="AD26" i="2" s="1"/>
  <c r="AE27" i="2"/>
  <c r="AE26" i="2" s="1"/>
  <c r="AF27" i="2"/>
  <c r="AF26" i="2" s="1"/>
  <c r="AG27" i="2"/>
  <c r="AG26" i="2" s="1"/>
  <c r="O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D27" i="2"/>
  <c r="D26" i="2" s="1"/>
  <c r="E27" i="2"/>
  <c r="E26" i="2" s="1"/>
  <c r="F27" i="2"/>
  <c r="F26" i="2" s="1"/>
  <c r="G27" i="2"/>
  <c r="G26" i="2" s="1"/>
  <c r="H27" i="2"/>
  <c r="H26" i="2" s="1"/>
  <c r="I27" i="2"/>
  <c r="I26" i="2" s="1"/>
  <c r="J27" i="2"/>
  <c r="J26" i="2" s="1"/>
  <c r="K27" i="2"/>
  <c r="K26" i="2" s="1"/>
  <c r="L27" i="2"/>
  <c r="L26" i="2" s="1"/>
  <c r="M27" i="2"/>
  <c r="M26" i="2" s="1"/>
  <c r="N27" i="2"/>
  <c r="N26" i="2" s="1"/>
  <c r="D24" i="2"/>
  <c r="E24" i="2"/>
  <c r="F24" i="2"/>
  <c r="G24" i="2"/>
  <c r="H24" i="2"/>
  <c r="I24" i="2"/>
  <c r="J24" i="2"/>
  <c r="K24" i="2"/>
  <c r="L24" i="2"/>
  <c r="M24" i="2"/>
  <c r="N24" i="2"/>
  <c r="AH4" i="2"/>
  <c r="AH5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23" i="2"/>
  <c r="AH19" i="2"/>
  <c r="AH20" i="2"/>
  <c r="AH21" i="2"/>
  <c r="AH3" i="2"/>
  <c r="AJ4" i="2"/>
  <c r="AL4" i="2" s="1"/>
  <c r="AJ5" i="2"/>
  <c r="AL5" i="2" s="1"/>
  <c r="AL6" i="2"/>
  <c r="AJ7" i="2"/>
  <c r="AK7" i="2" s="1"/>
  <c r="AJ8" i="2"/>
  <c r="AL8" i="2" s="1"/>
  <c r="AJ9" i="2"/>
  <c r="AL9" i="2" s="1"/>
  <c r="AJ10" i="2"/>
  <c r="AK10" i="2" s="1"/>
  <c r="AJ11" i="2"/>
  <c r="AL11" i="2" s="1"/>
  <c r="AJ12" i="2"/>
  <c r="AL12" i="2" s="1"/>
  <c r="AJ13" i="2"/>
  <c r="AL13" i="2" s="1"/>
  <c r="AJ14" i="2"/>
  <c r="AL14" i="2" s="1"/>
  <c r="AJ15" i="2"/>
  <c r="AL15" i="2" s="1"/>
  <c r="AJ16" i="2"/>
  <c r="AL16" i="2" s="1"/>
  <c r="AJ17" i="2"/>
  <c r="AL17" i="2" s="1"/>
  <c r="AJ18" i="2"/>
  <c r="AL18" i="2" s="1"/>
  <c r="AJ23" i="2"/>
  <c r="AL23" i="2" s="1"/>
  <c r="AJ19" i="2"/>
  <c r="AL19" i="2" s="1"/>
  <c r="AJ20" i="2"/>
  <c r="AL20" i="2" s="1"/>
  <c r="AJ21" i="2"/>
  <c r="AL21" i="2" s="1"/>
  <c r="AJ22" i="2"/>
  <c r="AK22" i="2" s="1"/>
  <c r="AJ3" i="2"/>
  <c r="AK3" i="2" s="1"/>
  <c r="K4" i="1"/>
  <c r="X26" i="1"/>
  <c r="W26" i="1"/>
  <c r="T26" i="1"/>
  <c r="S26" i="1"/>
  <c r="W25" i="1"/>
  <c r="V22" i="1"/>
  <c r="U22" i="1"/>
  <c r="R22" i="1"/>
  <c r="V21" i="1"/>
  <c r="U21" i="1"/>
  <c r="R21" i="1"/>
  <c r="V20" i="1"/>
  <c r="U20" i="1"/>
  <c r="R20" i="1"/>
  <c r="V19" i="1"/>
  <c r="U19" i="1"/>
  <c r="R19" i="1"/>
  <c r="V23" i="1"/>
  <c r="U23" i="1"/>
  <c r="R23" i="1"/>
  <c r="V18" i="1"/>
  <c r="U18" i="1"/>
  <c r="R18" i="1"/>
  <c r="V17" i="1"/>
  <c r="U17" i="1"/>
  <c r="R17" i="1"/>
  <c r="V16" i="1"/>
  <c r="U16" i="1"/>
  <c r="R16" i="1"/>
  <c r="V15" i="1"/>
  <c r="U15" i="1"/>
  <c r="R15" i="1"/>
  <c r="V14" i="1"/>
  <c r="U14" i="1"/>
  <c r="R14" i="1"/>
  <c r="V13" i="1"/>
  <c r="U13" i="1"/>
  <c r="R13" i="1"/>
  <c r="V12" i="1"/>
  <c r="U12" i="1"/>
  <c r="R12" i="1"/>
  <c r="V11" i="1"/>
  <c r="U11" i="1"/>
  <c r="R11" i="1"/>
  <c r="V10" i="1"/>
  <c r="U10" i="1"/>
  <c r="R10" i="1"/>
  <c r="V9" i="1"/>
  <c r="U9" i="1"/>
  <c r="R9" i="1"/>
  <c r="V8" i="1"/>
  <c r="U8" i="1"/>
  <c r="R8" i="1"/>
  <c r="V5" i="1"/>
  <c r="U5" i="1"/>
  <c r="R5" i="1"/>
  <c r="V4" i="1"/>
  <c r="U4" i="1"/>
  <c r="R4" i="1"/>
  <c r="R3" i="1"/>
  <c r="K3" i="1"/>
  <c r="AI24" i="3" l="1"/>
  <c r="AJ24" i="3" s="1"/>
  <c r="AK4" i="2"/>
  <c r="AK12" i="2"/>
  <c r="AK19" i="2"/>
  <c r="AK8" i="2"/>
  <c r="AL10" i="2"/>
  <c r="AK18" i="2"/>
  <c r="AK15" i="2"/>
  <c r="AK5" i="2"/>
  <c r="AL7" i="2"/>
  <c r="AK9" i="2"/>
  <c r="AL22" i="2"/>
  <c r="AL3" i="2"/>
  <c r="AK6" i="2"/>
  <c r="AK16" i="2"/>
  <c r="AK21" i="2"/>
  <c r="AK17" i="2"/>
  <c r="AK13" i="2"/>
  <c r="AK20" i="2"/>
  <c r="AK14" i="2"/>
  <c r="AK11" i="2"/>
  <c r="AK23" i="2"/>
  <c r="Z26" i="1"/>
  <c r="Z25" i="1"/>
  <c r="U25" i="1"/>
  <c r="V26" i="1"/>
  <c r="U26" i="1"/>
  <c r="V25" i="1"/>
  <c r="AJ24" i="2" l="1"/>
  <c r="AK24" i="2" s="1"/>
</calcChain>
</file>

<file path=xl/sharedStrings.xml><?xml version="1.0" encoding="utf-8"?>
<sst xmlns="http://schemas.openxmlformats.org/spreadsheetml/2006/main" count="2787" uniqueCount="452">
  <si>
    <t>FLEET PERFORMANCE</t>
  </si>
  <si>
    <t>FLEET MILEAGE PERFORMANCE</t>
  </si>
  <si>
    <t>FLEET REVENUE PERFORMANCE</t>
  </si>
  <si>
    <t>#</t>
  </si>
  <si>
    <t>TRUCK NO</t>
  </si>
  <si>
    <t>DRIVER NAME</t>
  </si>
  <si>
    <t>PHONE NO</t>
  </si>
  <si>
    <t>CLIENT</t>
  </si>
  <si>
    <t>TRUCK LOCATION</t>
  </si>
  <si>
    <t>TRUCK LIVE UPDATE</t>
  </si>
  <si>
    <t>TRUCK CURRENT STATUS</t>
  </si>
  <si>
    <t>COMMENTARY</t>
  </si>
  <si>
    <t>DELAY DAYS</t>
  </si>
  <si>
    <t>TRUCK START IGNITION TIME</t>
  </si>
  <si>
    <t>TRUCK STOP IGNITION TIME</t>
  </si>
  <si>
    <t>DAY MILE PLAN</t>
  </si>
  <si>
    <t>DAY MILE ACTUAL</t>
  </si>
  <si>
    <t>DAY MILE PERF%</t>
  </si>
  <si>
    <t>MTD MILEAGE PLAN</t>
  </si>
  <si>
    <t>MTD MILEAGE ACTUAL</t>
  </si>
  <si>
    <t>MTD MILE PERF%</t>
  </si>
  <si>
    <t>MTD MILE DIFF</t>
  </si>
  <si>
    <t>CURRENT DAY LOAD ACTUAL</t>
  </si>
  <si>
    <t>MTD REVENUE PLAN</t>
  </si>
  <si>
    <t>MTD REVENUE ACTUAL</t>
  </si>
  <si>
    <t>MTD REVENUE PERF%</t>
  </si>
  <si>
    <t>KBH 207T</t>
  </si>
  <si>
    <t>Eldoret Yard</t>
  </si>
  <si>
    <t>Mechanical issues</t>
  </si>
  <si>
    <t xml:space="preserve"> 00:00:00</t>
  </si>
  <si>
    <t>KBH 308N</t>
  </si>
  <si>
    <t>Mariakani Yard</t>
  </si>
  <si>
    <t>KBL 166Z</t>
  </si>
  <si>
    <t>KBM 661F</t>
  </si>
  <si>
    <t>Linus Kirui</t>
  </si>
  <si>
    <t>KBP 557N</t>
  </si>
  <si>
    <t>James Kibuika</t>
  </si>
  <si>
    <t>KBZ 257E</t>
  </si>
  <si>
    <t>KCG 574P</t>
  </si>
  <si>
    <t>John Metto</t>
  </si>
  <si>
    <t>KCG 576P</t>
  </si>
  <si>
    <t>KCG 577P</t>
  </si>
  <si>
    <t>William Kipchoge</t>
  </si>
  <si>
    <t>KCG 585P</t>
  </si>
  <si>
    <t>Philip Kiplimo Leley</t>
  </si>
  <si>
    <t>KCG 586P</t>
  </si>
  <si>
    <t>Josphat Kimutai Koech</t>
  </si>
  <si>
    <t>KCG 587P</t>
  </si>
  <si>
    <t>Julius chepkwony</t>
  </si>
  <si>
    <t>KCG 588P</t>
  </si>
  <si>
    <t>Samson Kemboi</t>
  </si>
  <si>
    <t>KCG 589P</t>
  </si>
  <si>
    <t>Stanley Kiplagat Kosgei</t>
  </si>
  <si>
    <t>KCG 590P</t>
  </si>
  <si>
    <t>David Boit</t>
  </si>
  <si>
    <t>KCG 626Q</t>
  </si>
  <si>
    <t>KCG 633Q</t>
  </si>
  <si>
    <t>Isaac Wafula</t>
  </si>
  <si>
    <t>KCG 634Q</t>
  </si>
  <si>
    <t>Ezra Kimeli Chumba</t>
  </si>
  <si>
    <t>KCG 635Q</t>
  </si>
  <si>
    <t>Evans Onyonka Mokaya</t>
  </si>
  <si>
    <t>KCG 636Q</t>
  </si>
  <si>
    <t>Abraham Maina</t>
  </si>
  <si>
    <t>KCG 637Q</t>
  </si>
  <si>
    <t>Katana Masha</t>
  </si>
  <si>
    <t>TOTAL</t>
  </si>
  <si>
    <t xml:space="preserve">AVERAGE </t>
  </si>
  <si>
    <t>William cheruiyot</t>
  </si>
  <si>
    <t>TRUCK STOP TIME(hrs)</t>
  </si>
  <si>
    <t>TOTAL ACHIEVED</t>
  </si>
  <si>
    <t>TOTAL PLAN TARGET</t>
  </si>
  <si>
    <t>PERFORMANCE</t>
  </si>
  <si>
    <t>Richard Kibet</t>
  </si>
  <si>
    <t xml:space="preserve">TARGET DAILY </t>
  </si>
  <si>
    <t>AVERAGE DAILY PERF.</t>
  </si>
  <si>
    <t xml:space="preserve">                                                         MILEAGES(KMS) COVERED PER DAY( TARGET IS 450KMS)</t>
  </si>
  <si>
    <t xml:space="preserve"> TOTAL MILEAGE COVERED (MTD)</t>
  </si>
  <si>
    <t>MILEAGE DIFFERENCE (MTD)</t>
  </si>
  <si>
    <t>AVERAGE MILES</t>
  </si>
  <si>
    <t>APRIL</t>
  </si>
  <si>
    <t>MARCH</t>
  </si>
  <si>
    <t>MAY</t>
  </si>
  <si>
    <t>TOTAL PLAN TARGET(Weekly)</t>
  </si>
  <si>
    <t>Workshop</t>
  </si>
  <si>
    <t>FRFL FLEET PERFORMANCE ANALYSIS</t>
  </si>
  <si>
    <t>TRUCK REG NO</t>
  </si>
  <si>
    <t>AVERAGE</t>
  </si>
  <si>
    <t>PERCENTAGE</t>
  </si>
  <si>
    <t>EXP TOTAL</t>
  </si>
  <si>
    <t>2022 KM COVERED</t>
  </si>
  <si>
    <t>TTL KM COVERED</t>
  </si>
  <si>
    <t>KBH 207T MAN</t>
  </si>
  <si>
    <t>KBH 308N CONTAINER</t>
  </si>
  <si>
    <t>KBL 166Z MAN</t>
  </si>
  <si>
    <t>KBM 661F CONTAINER</t>
  </si>
  <si>
    <t>KBP 557N CONTAINER</t>
  </si>
  <si>
    <t xml:space="preserve">KBZ 257E </t>
  </si>
  <si>
    <t>KCG 574P MAN</t>
  </si>
  <si>
    <t>KCG 576P MAN</t>
  </si>
  <si>
    <t>KCG 577P MAN</t>
  </si>
  <si>
    <t>KCG 585P MAN</t>
  </si>
  <si>
    <t>KCG 586P MAN</t>
  </si>
  <si>
    <t>KCG 587P MAN</t>
  </si>
  <si>
    <t>KCG 588P MAN</t>
  </si>
  <si>
    <t>KCG 589P MAN</t>
  </si>
  <si>
    <t>KCG 590P MAN</t>
  </si>
  <si>
    <t>KCG 626Q MAN</t>
  </si>
  <si>
    <t>KCG 633Q MAN</t>
  </si>
  <si>
    <t>KCG 634Q MAN</t>
  </si>
  <si>
    <t>KCG 635Q MAN</t>
  </si>
  <si>
    <t>KCG 636Q MAN</t>
  </si>
  <si>
    <t>KCG 637Q MAN</t>
  </si>
  <si>
    <t>GRAND TOTAL</t>
  </si>
  <si>
    <t>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</t>
  </si>
  <si>
    <t>FLEET GROSS REVENUE YIELD</t>
  </si>
  <si>
    <t>2021 REV YTD</t>
  </si>
  <si>
    <t>2022 REV YTD</t>
  </si>
  <si>
    <t>TTL REVENUE</t>
  </si>
  <si>
    <t>KBH 207T TIP</t>
  </si>
  <si>
    <t>KBH 308N CONT</t>
  </si>
  <si>
    <t>KBL 166Z TIP</t>
  </si>
  <si>
    <t>KBM 661F CONT</t>
  </si>
  <si>
    <t>KBP 557N CONT</t>
  </si>
  <si>
    <t>KBZ257E DROPSIDE</t>
  </si>
  <si>
    <t xml:space="preserve">TARGET </t>
  </si>
  <si>
    <t>REVENUE ACTUAL</t>
  </si>
  <si>
    <t xml:space="preserve">JANUARY </t>
  </si>
  <si>
    <t>FEBRUARY</t>
  </si>
  <si>
    <t>JUNE</t>
  </si>
  <si>
    <t>-</t>
  </si>
  <si>
    <t>Syokimau Yard</t>
  </si>
  <si>
    <t>TRUCKNO.</t>
  </si>
  <si>
    <t>Border/Alteration</t>
  </si>
  <si>
    <t>***</t>
  </si>
  <si>
    <t>&lt;5km</t>
  </si>
  <si>
    <t>&gt;450km</t>
  </si>
  <si>
    <t>Gadget fitted</t>
  </si>
  <si>
    <t>Loading Delay</t>
  </si>
  <si>
    <t>Awaiting Cargo</t>
  </si>
  <si>
    <t>Offloading Delay</t>
  </si>
  <si>
    <t>Border Delay</t>
  </si>
  <si>
    <t>Documentation Delay</t>
  </si>
  <si>
    <t>July</t>
  </si>
  <si>
    <t>JULY</t>
  </si>
  <si>
    <t>Mechanical Delay. Truck Grounded-Awaiting Finance- Ksh 91000</t>
  </si>
  <si>
    <t>Mechanical Delay. Truck Grounded-Awaiting Finance- Ksh 76000</t>
  </si>
  <si>
    <t>AUGUST</t>
  </si>
  <si>
    <t>15M TARGET %</t>
  </si>
  <si>
    <t>August</t>
  </si>
  <si>
    <t>September</t>
  </si>
  <si>
    <t>SEPTEMBER</t>
  </si>
  <si>
    <t>FLEET MILES ACHIEVEMENT(KMS)</t>
  </si>
  <si>
    <t xml:space="preserve">TARGET= 10000km </t>
  </si>
  <si>
    <t>PERFORMANCE %</t>
  </si>
  <si>
    <t>STATIONARY</t>
  </si>
  <si>
    <t>MOVING</t>
  </si>
  <si>
    <t>2023 YTD REVENUE</t>
  </si>
  <si>
    <t>OCTOBER</t>
  </si>
  <si>
    <t>00:00:00:00</t>
  </si>
  <si>
    <t>James Kemboi</t>
  </si>
  <si>
    <t>November</t>
  </si>
  <si>
    <t>NOVEMBER</t>
  </si>
  <si>
    <t>Major Breakdown</t>
  </si>
  <si>
    <t>Stephen Mungai</t>
  </si>
  <si>
    <t>Raphael Ngure</t>
  </si>
  <si>
    <t>DECEMBER</t>
  </si>
  <si>
    <t>MONTHLY TARGET 15M</t>
  </si>
  <si>
    <t>2023 KM COVERED</t>
  </si>
  <si>
    <t>January</t>
  </si>
  <si>
    <t>TRUCK ID</t>
  </si>
  <si>
    <t>DATE</t>
  </si>
  <si>
    <t>DELAY TYPE</t>
  </si>
  <si>
    <t>Delay Types</t>
  </si>
  <si>
    <t>FINANCE</t>
  </si>
  <si>
    <t>START TIME</t>
  </si>
  <si>
    <t>STOP TIME</t>
  </si>
  <si>
    <t>DELAY TIME</t>
  </si>
  <si>
    <t>DELAY DURATION</t>
  </si>
  <si>
    <t>HOURS</t>
  </si>
  <si>
    <t>DAYS</t>
  </si>
  <si>
    <t>RESPONSIBLE PARTIES</t>
  </si>
  <si>
    <t>WORKSHOP</t>
  </si>
  <si>
    <t>MANAGEMENT</t>
  </si>
  <si>
    <t>OTHERS</t>
  </si>
  <si>
    <t>NOTES</t>
  </si>
  <si>
    <t>FINANCE- INTERNAL</t>
  </si>
  <si>
    <t>DRIVER- INTERNAL</t>
  </si>
  <si>
    <t>FUEL- INTERNAL</t>
  </si>
  <si>
    <t>BREAKDOWN- INTERNAL</t>
  </si>
  <si>
    <t>LOADING- EXTERNAL</t>
  </si>
  <si>
    <t>SERVICE- INTERNAL</t>
  </si>
  <si>
    <t>OFFLOADING- EXTERNAL</t>
  </si>
  <si>
    <t>TRAFFIC-EXTERNAL</t>
  </si>
  <si>
    <t>BORDER CLEARANCE-EXTERNAL</t>
  </si>
  <si>
    <t>DOCUMENTATION-EXTERNAL</t>
  </si>
  <si>
    <t>DEPARTMENTS</t>
  </si>
  <si>
    <t>MONTH</t>
  </si>
  <si>
    <t>PAYMENT HOLD-EXTERNAL</t>
  </si>
  <si>
    <t>NO DELAY</t>
  </si>
  <si>
    <t>CUMULATIVE DELAY</t>
  </si>
  <si>
    <t>AWAITING CONSIGNMENT- EXTERNAL</t>
  </si>
  <si>
    <t>AWAITING CARGO - INTERNAL</t>
  </si>
  <si>
    <t>LOGISTICS</t>
  </si>
  <si>
    <t>At offloading queue</t>
  </si>
  <si>
    <t>Loaded- Awaiting customs docs</t>
  </si>
  <si>
    <t>Loading queue</t>
  </si>
  <si>
    <t>DELAYS</t>
  </si>
  <si>
    <t>TRUCKS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</si>
  <si>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</si>
  <si>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</si>
  <si>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</si>
  <si>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</si>
  <si>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</si>
  <si>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</si>
  <si>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</si>
  <si>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</si>
  <si>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</si>
  <si>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</si>
  <si>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</si>
  <si>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</si>
  <si>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</si>
  <si>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</si>
  <si>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</si>
  <si>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</si>
  <si>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</si>
  <si>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</si>
  <si>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</si>
  <si>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</si>
  <si>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</si>
  <si>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</si>
  <si>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</si>
  <si>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</si>
  <si>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</si>
  <si>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</si>
  <si>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</si>
  <si>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</si>
  <si>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</si>
  <si>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</si>
  <si>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</si>
  <si>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February</t>
  </si>
  <si>
    <t>Paul Ng'anga</t>
  </si>
  <si>
    <t>George Morara</t>
  </si>
  <si>
    <t xml:space="preserve">Border Delay </t>
  </si>
  <si>
    <t>Loading day- Left Mariakani</t>
  </si>
  <si>
    <t>Border Clearance Delay</t>
  </si>
  <si>
    <t>k</t>
  </si>
  <si>
    <t>CUMULATIVE DELAY DURATION</t>
  </si>
  <si>
    <t>Awaiting Cargo Allocation</t>
  </si>
  <si>
    <t>Loading/Awaiting Customs Docs</t>
  </si>
  <si>
    <t>Service/Awaiting cargo Allocation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</si>
  <si>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</si>
  <si>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</si>
  <si>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</si>
  <si>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</si>
  <si>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</si>
  <si>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</si>
  <si>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</si>
  <si>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</si>
  <si>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</si>
  <si>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</si>
  <si>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</si>
  <si>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</si>
  <si>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</si>
  <si>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</si>
  <si>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</si>
  <si>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</si>
  <si>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</si>
  <si>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</si>
  <si>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</si>
  <si>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</si>
  <si>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</si>
  <si>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</si>
  <si>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</si>
  <si>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</si>
  <si>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</si>
  <si>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</si>
  <si>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</si>
  <si>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</si>
  <si>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</si>
  <si>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</si>
  <si>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</si>
  <si>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</si>
  <si>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</si>
  <si>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</si>
  <si>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</si>
  <si>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</si>
  <si>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</si>
  <si>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</si>
  <si>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</si>
  <si>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</si>
  <si>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</si>
  <si>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</si>
  <si>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</si>
  <si>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</si>
  <si>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</si>
  <si>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</si>
  <si>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</si>
  <si>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</si>
  <si>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</si>
  <si>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</si>
  <si>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</si>
  <si>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</si>
  <si>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</si>
  <si>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</si>
  <si>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</si>
  <si>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</si>
  <si>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</si>
  <si>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</si>
  <si>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</si>
  <si>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</si>
  <si>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Daniel Chirchir</t>
  </si>
  <si>
    <t>SGL</t>
  </si>
  <si>
    <t>Ex</t>
  </si>
  <si>
    <t>Loaded</t>
  </si>
  <si>
    <t>Empty</t>
  </si>
  <si>
    <t>INTERNAL</t>
  </si>
  <si>
    <t>Docs</t>
  </si>
  <si>
    <t>FORTE FREIGHT DASHBOARD - 2024 REVIEW</t>
  </si>
  <si>
    <t>2024 YTD REVENUE</t>
  </si>
  <si>
    <t>ANNUAL REVENUE PERFORMANCE</t>
  </si>
  <si>
    <t>Daniel Rono</t>
  </si>
  <si>
    <t>Wilson Birgen</t>
  </si>
  <si>
    <t>HILLARY KINGETICH</t>
  </si>
  <si>
    <t>Outgoing</t>
  </si>
  <si>
    <t>Incoming</t>
  </si>
  <si>
    <t>1st May</t>
  </si>
  <si>
    <t>2nd May</t>
  </si>
  <si>
    <t>3rd May</t>
  </si>
  <si>
    <t>4th May</t>
  </si>
  <si>
    <t>5th May</t>
  </si>
  <si>
    <t>6th May</t>
  </si>
  <si>
    <t>7th May</t>
  </si>
  <si>
    <t>8th May</t>
  </si>
  <si>
    <t>9th May</t>
  </si>
  <si>
    <t>10th May</t>
  </si>
  <si>
    <t>11th May</t>
  </si>
  <si>
    <t>12th May</t>
  </si>
  <si>
    <t>13th May</t>
  </si>
  <si>
    <t>14th May</t>
  </si>
  <si>
    <t>15th May</t>
  </si>
  <si>
    <t>16th May</t>
  </si>
  <si>
    <t>17th May</t>
  </si>
  <si>
    <t>18th May</t>
  </si>
  <si>
    <t>19th May</t>
  </si>
  <si>
    <t>20th May</t>
  </si>
  <si>
    <t>21st May</t>
  </si>
  <si>
    <t>22nd May</t>
  </si>
  <si>
    <t>23rd May</t>
  </si>
  <si>
    <t>24th May</t>
  </si>
  <si>
    <t>25th May</t>
  </si>
  <si>
    <t>26th May</t>
  </si>
  <si>
    <t>27th May</t>
  </si>
  <si>
    <t>28th May</t>
  </si>
  <si>
    <t>29th May</t>
  </si>
  <si>
    <t>30th May</t>
  </si>
  <si>
    <t>31st May</t>
  </si>
  <si>
    <t>00:18:55:25</t>
  </si>
  <si>
    <t>00:14:18:10</t>
  </si>
  <si>
    <t>00:11:29:52</t>
  </si>
  <si>
    <t>00:23:57:35</t>
  </si>
  <si>
    <t>00:23:59:16</t>
  </si>
  <si>
    <t>00:10:20:22</t>
  </si>
  <si>
    <t>00:20:24:24</t>
  </si>
  <si>
    <t>00:23:47:42</t>
  </si>
  <si>
    <t>00:19:30:33</t>
  </si>
  <si>
    <t>00:20:56:16</t>
  </si>
  <si>
    <t>00:23:55:22</t>
  </si>
  <si>
    <t>00:15:30:54</t>
  </si>
  <si>
    <t>00:23:56:12</t>
  </si>
  <si>
    <t>00:21:32:24</t>
  </si>
  <si>
    <t>00:23:37:38</t>
  </si>
  <si>
    <t>00:23:50:14</t>
  </si>
  <si>
    <t>Malaba</t>
  </si>
  <si>
    <t>David Ngetich</t>
  </si>
  <si>
    <t>1st June</t>
  </si>
  <si>
    <t>2nd June</t>
  </si>
  <si>
    <t>3rd June</t>
  </si>
  <si>
    <t>4th June</t>
  </si>
  <si>
    <t>5th June</t>
  </si>
  <si>
    <t>6th June</t>
  </si>
  <si>
    <t>7th June</t>
  </si>
  <si>
    <t>8th June</t>
  </si>
  <si>
    <t>9th June</t>
  </si>
  <si>
    <t>10th June</t>
  </si>
  <si>
    <t>11th June</t>
  </si>
  <si>
    <t>12th June</t>
  </si>
  <si>
    <t>13th June</t>
  </si>
  <si>
    <t>14th June</t>
  </si>
  <si>
    <t>15th June</t>
  </si>
  <si>
    <t>16th June</t>
  </si>
  <si>
    <t>17th June</t>
  </si>
  <si>
    <t>18th June</t>
  </si>
  <si>
    <t>19th June</t>
  </si>
  <si>
    <t>20th June</t>
  </si>
  <si>
    <t>21st June</t>
  </si>
  <si>
    <t>22nd June</t>
  </si>
  <si>
    <t>23rd June</t>
  </si>
  <si>
    <t>24th June</t>
  </si>
  <si>
    <t>25th June</t>
  </si>
  <si>
    <t>26th June</t>
  </si>
  <si>
    <t>27th June</t>
  </si>
  <si>
    <t>28th June</t>
  </si>
  <si>
    <t>29th June</t>
  </si>
  <si>
    <t>30th June</t>
  </si>
  <si>
    <t>Elijah Mutuku</t>
  </si>
  <si>
    <t>ICD Nbi</t>
  </si>
  <si>
    <t>At loading point</t>
  </si>
  <si>
    <t>Awaiting custom docs</t>
  </si>
  <si>
    <t>Awaiting to load</t>
  </si>
  <si>
    <t>Kisumu</t>
  </si>
  <si>
    <t>Eldoret</t>
  </si>
  <si>
    <t>SGR Nbi</t>
  </si>
  <si>
    <t>Mariakani yard</t>
  </si>
  <si>
    <t>Gilgil</t>
  </si>
  <si>
    <t>Mtito Andei</t>
  </si>
  <si>
    <t>Mechanical issue</t>
  </si>
  <si>
    <t>Fueling, to leave shortly</t>
  </si>
  <si>
    <t>1st July</t>
  </si>
  <si>
    <t>2nd July</t>
  </si>
  <si>
    <t>3rd July</t>
  </si>
  <si>
    <t>4th July</t>
  </si>
  <si>
    <t>5th July</t>
  </si>
  <si>
    <t>6th July</t>
  </si>
  <si>
    <t>7th July</t>
  </si>
  <si>
    <t>8th July</t>
  </si>
  <si>
    <t>9th July</t>
  </si>
  <si>
    <t>10th July</t>
  </si>
  <si>
    <t>11th July</t>
  </si>
  <si>
    <t>12th July</t>
  </si>
  <si>
    <t>13th July</t>
  </si>
  <si>
    <t>14th July</t>
  </si>
  <si>
    <t>15th July</t>
  </si>
  <si>
    <t>16th July</t>
  </si>
  <si>
    <t>17th July</t>
  </si>
  <si>
    <t>18th July</t>
  </si>
  <si>
    <t>19th July</t>
  </si>
  <si>
    <t>20th July</t>
  </si>
  <si>
    <t>21st July</t>
  </si>
  <si>
    <t>22nd July</t>
  </si>
  <si>
    <t>23rd July</t>
  </si>
  <si>
    <t>24th July</t>
  </si>
  <si>
    <t>25th July</t>
  </si>
  <si>
    <t>26th July</t>
  </si>
  <si>
    <t>27th July</t>
  </si>
  <si>
    <t>28th July</t>
  </si>
  <si>
    <t>29th July</t>
  </si>
  <si>
    <t>30th July</t>
  </si>
  <si>
    <t>31st July</t>
  </si>
  <si>
    <t>Danson Mbuthia</t>
  </si>
  <si>
    <t>HILLARY KIPNGETICH</t>
  </si>
  <si>
    <t>Julius Kipkoech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</si>
</sst>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(* #,##0.00_);_(* \(#,##0.00\);_(* &quot;-&quot;??_);_(@_)"/>
    <numFmt numFmtId="164" formatCode="_-* #,##0.00_-;\-* #,##0.00_-;_-* &quot;-&quot;??_-;_-@_-"/>
    <numFmt numFmtId="165" formatCode="_-&quot;Ksh&quot;* #,##0.00_-;\-&quot;Ksh&quot;* #,##0.00_-;_-&quot;Ksh&quot;* &quot;-&quot;??_-;_-@_-"/>
    <numFmt numFmtId="166" formatCode="_(* #,##0_);_(* \(#,##0\);_(* &quot;-&quot;??_);_(@_)"/>
    <numFmt numFmtId="167" formatCode="&quot;Ksh&quot;#,##0.00"/>
    <numFmt numFmtId="168" formatCode="_(&quot;Ksh&quot;* #,##0.00_);_(&quot;Ksh&quot;* \(#,##0.00\);_(&quot;Ksh&quot;* &quot;-&quot;??_);_(@_)"/>
    <numFmt numFmtId="169" formatCode="hh:mm:ss;@"/>
    <numFmt numFmtId="170" formatCode="dd/mm/yyyy;@"/>
    <numFmt numFmtId="171" formatCode="mm/dd/yy;@"/>
    <numFmt numFmtId="172" formatCode="m/d/yy\ h:mm;@"/>
    <numFmt numFmtId="173" formatCode="h:mm;@"/>
    <numFmt numFmtId="174" formatCode="dd/mm/yy;@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rgb="FFE97483"/>
      <name val="STXinwei"/>
      <charset val="134"/>
    </font>
    <font>
      <b/>
      <sz val="28"/>
      <color theme="4" tint="-0.249977111117893"/>
      <name val="STXinwei"/>
      <charset val="134"/>
    </font>
    <font>
      <b/>
      <sz val="28"/>
      <color theme="1"/>
      <name val="STXinwei"/>
      <charset val="134"/>
    </font>
    <font>
      <b/>
      <sz val="14"/>
      <color theme="0"/>
      <name val="Arial"/>
      <family val="2"/>
    </font>
    <font>
      <b/>
      <sz val="20"/>
      <color theme="1"/>
      <name val="Arial"/>
      <family val="2"/>
    </font>
    <font>
      <sz val="14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22"/>
      <color theme="0"/>
      <name val="Arial"/>
      <family val="2"/>
    </font>
    <font>
      <b/>
      <sz val="16"/>
      <color theme="0"/>
      <name val="Arial"/>
      <family val="2"/>
    </font>
    <font>
      <i/>
      <sz val="14"/>
      <color theme="0"/>
      <name val="Arial"/>
      <family val="2"/>
    </font>
    <font>
      <i/>
      <sz val="14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u/>
      <sz val="28"/>
      <color theme="0"/>
      <name val="STXinwei"/>
      <charset val="134"/>
    </font>
    <font>
      <b/>
      <sz val="14"/>
      <color theme="1"/>
      <name val="Avenir Next Condensed Regular"/>
    </font>
    <font>
      <b/>
      <sz val="28"/>
      <color rgb="FF0432FF"/>
      <name val="STXinwei"/>
      <charset val="134"/>
    </font>
    <font>
      <b/>
      <sz val="28"/>
      <color theme="1"/>
      <name val="Avenir Next Condensed Regular"/>
    </font>
    <font>
      <b/>
      <sz val="14"/>
      <color theme="0"/>
      <name val="STXinwei"/>
      <charset val="134"/>
    </font>
    <font>
      <b/>
      <sz val="14"/>
      <color theme="1"/>
      <name val="STXinwei"/>
      <charset val="134"/>
    </font>
    <font>
      <sz val="14"/>
      <color theme="1"/>
      <name val="STXinwei"/>
      <charset val="134"/>
    </font>
    <font>
      <sz val="14"/>
      <color theme="1"/>
      <name val="Avenir Next Condensed Regular"/>
    </font>
    <font>
      <sz val="14"/>
      <color rgb="FFFF0000"/>
      <name val="Avenir Next Condensed Regular"/>
    </font>
    <font>
      <b/>
      <sz val="14"/>
      <color rgb="FFFF0000"/>
      <name val="Avenir Next Condensed Regular"/>
    </font>
    <font>
      <sz val="14"/>
      <color rgb="FFFF0000"/>
      <name val="STXinwei"/>
      <charset val="134"/>
    </font>
    <font>
      <sz val="12"/>
      <color theme="1"/>
      <name val="Calibri"/>
      <family val="2"/>
      <scheme val="minor"/>
    </font>
    <font>
      <b/>
      <sz val="20"/>
      <name val="Arial"/>
      <family val="2"/>
    </font>
    <font>
      <sz val="13"/>
      <color theme="4" tint="-0.249977111117893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F7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2">
    <xf numFmtId="0" fontId="0" fillId="0" borderId="0" xfId="0"/>
    <xf numFmtId="0" fontId="7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66" fontId="7" fillId="3" borderId="20" xfId="1" applyNumberFormat="1" applyFont="1" applyFill="1" applyBorder="1" applyAlignment="1">
      <alignment horizontal="center" vertical="center"/>
    </xf>
    <xf numFmtId="14" fontId="7" fillId="3" borderId="18" xfId="2" applyNumberFormat="1" applyFont="1" applyFill="1" applyBorder="1" applyAlignment="1">
      <alignment horizontal="center" vertical="center"/>
    </xf>
    <xf numFmtId="1" fontId="10" fillId="4" borderId="17" xfId="1" applyNumberFormat="1" applyFont="1" applyFill="1" applyBorder="1" applyAlignment="1">
      <alignment horizontal="center" vertical="center"/>
    </xf>
    <xf numFmtId="1" fontId="10" fillId="4" borderId="16" xfId="0" applyNumberFormat="1" applyFont="1" applyFill="1" applyBorder="1" applyAlignment="1">
      <alignment horizontal="center" vertical="center"/>
    </xf>
    <xf numFmtId="9" fontId="9" fillId="4" borderId="16" xfId="2" applyFont="1" applyFill="1" applyBorder="1" applyAlignment="1">
      <alignment horizontal="center" vertical="center"/>
    </xf>
    <xf numFmtId="1" fontId="9" fillId="4" borderId="18" xfId="2" applyNumberFormat="1" applyFont="1" applyFill="1" applyBorder="1" applyAlignment="1">
      <alignment horizontal="center" vertical="center"/>
    </xf>
    <xf numFmtId="1" fontId="10" fillId="4" borderId="16" xfId="2" applyNumberFormat="1" applyFont="1" applyFill="1" applyBorder="1" applyAlignment="1">
      <alignment horizontal="center" vertical="center"/>
    </xf>
    <xf numFmtId="9" fontId="10" fillId="4" borderId="21" xfId="2" applyFont="1" applyFill="1" applyBorder="1" applyAlignment="1">
      <alignment horizontal="center" vertical="center"/>
    </xf>
    <xf numFmtId="167" fontId="9" fillId="5" borderId="16" xfId="1" applyNumberFormat="1" applyFont="1" applyFill="1" applyBorder="1" applyAlignment="1">
      <alignment horizontal="center" vertical="center"/>
    </xf>
    <xf numFmtId="168" fontId="10" fillId="5" borderId="16" xfId="1" applyNumberFormat="1" applyFont="1" applyFill="1" applyBorder="1" applyAlignment="1">
      <alignment horizontal="center" vertical="center"/>
    </xf>
    <xf numFmtId="49" fontId="12" fillId="7" borderId="17" xfId="3" applyNumberFormat="1" applyFont="1" applyFill="1" applyBorder="1" applyAlignment="1">
      <alignment vertical="center"/>
    </xf>
    <xf numFmtId="0" fontId="7" fillId="3" borderId="18" xfId="2" applyNumberFormat="1" applyFont="1" applyFill="1" applyBorder="1" applyAlignment="1">
      <alignment horizontal="center" vertical="center"/>
    </xf>
    <xf numFmtId="49" fontId="12" fillId="7" borderId="10" xfId="3" applyNumberFormat="1" applyFont="1" applyFill="1" applyBorder="1" applyAlignment="1">
      <alignment vertical="center"/>
    </xf>
    <xf numFmtId="0" fontId="7" fillId="3" borderId="15" xfId="2" applyNumberFormat="1" applyFont="1" applyFill="1" applyBorder="1" applyAlignment="1">
      <alignment horizontal="center" vertical="center"/>
    </xf>
    <xf numFmtId="1" fontId="10" fillId="4" borderId="10" xfId="1" applyNumberFormat="1" applyFont="1" applyFill="1" applyBorder="1" applyAlignment="1">
      <alignment horizontal="center" vertical="center"/>
    </xf>
    <xf numFmtId="49" fontId="13" fillId="7" borderId="21" xfId="3" applyNumberFormat="1" applyFont="1" applyFill="1" applyBorder="1" applyAlignment="1">
      <alignment vertical="center"/>
    </xf>
    <xf numFmtId="0" fontId="9" fillId="0" borderId="21" xfId="0" applyFont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vertical="center"/>
    </xf>
    <xf numFmtId="0" fontId="14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right" vertical="center"/>
    </xf>
    <xf numFmtId="0" fontId="15" fillId="9" borderId="4" xfId="0" applyFont="1" applyFill="1" applyBorder="1" applyAlignment="1">
      <alignment horizontal="right" vertical="center"/>
    </xf>
    <xf numFmtId="0" fontId="5" fillId="9" borderId="4" xfId="0" applyFont="1" applyFill="1" applyBorder="1" applyAlignment="1">
      <alignment horizontal="right" vertical="center"/>
    </xf>
    <xf numFmtId="0" fontId="14" fillId="9" borderId="4" xfId="0" applyFont="1" applyFill="1" applyBorder="1" applyAlignment="1">
      <alignment horizontal="right" vertical="center"/>
    </xf>
    <xf numFmtId="0" fontId="16" fillId="9" borderId="5" xfId="0" applyFont="1" applyFill="1" applyBorder="1" applyAlignment="1">
      <alignment horizontal="right" vertical="center"/>
    </xf>
    <xf numFmtId="0" fontId="16" fillId="9" borderId="4" xfId="0" applyFont="1" applyFill="1" applyBorder="1" applyAlignment="1">
      <alignment horizontal="right" vertical="center"/>
    </xf>
    <xf numFmtId="21" fontId="17" fillId="9" borderId="4" xfId="1" applyNumberFormat="1" applyFont="1" applyFill="1" applyBorder="1" applyAlignment="1">
      <alignment horizontal="center" vertical="center"/>
    </xf>
    <xf numFmtId="2" fontId="17" fillId="9" borderId="4" xfId="1" applyNumberFormat="1" applyFont="1" applyFill="1" applyBorder="1" applyAlignment="1">
      <alignment horizontal="center" vertical="center"/>
    </xf>
    <xf numFmtId="1" fontId="17" fillId="9" borderId="23" xfId="1" applyNumberFormat="1" applyFont="1" applyFill="1" applyBorder="1" applyAlignment="1">
      <alignment horizontal="center" vertical="center"/>
    </xf>
    <xf numFmtId="9" fontId="17" fillId="9" borderId="24" xfId="1" applyNumberFormat="1" applyFont="1" applyFill="1" applyBorder="1" applyAlignment="1">
      <alignment horizontal="center" vertical="center"/>
    </xf>
    <xf numFmtId="1" fontId="17" fillId="9" borderId="24" xfId="2" applyNumberFormat="1" applyFont="1" applyFill="1" applyBorder="1" applyAlignment="1">
      <alignment horizontal="center" vertical="center"/>
    </xf>
    <xf numFmtId="1" fontId="17" fillId="9" borderId="25" xfId="2" applyNumberFormat="1" applyFont="1" applyFill="1" applyBorder="1" applyAlignment="1">
      <alignment horizontal="center" vertical="center"/>
    </xf>
    <xf numFmtId="167" fontId="17" fillId="9" borderId="23" xfId="1" applyNumberFormat="1" applyFont="1" applyFill="1" applyBorder="1" applyAlignment="1">
      <alignment horizontal="right" vertical="center"/>
    </xf>
    <xf numFmtId="168" fontId="17" fillId="9" borderId="24" xfId="1" applyNumberFormat="1" applyFont="1" applyFill="1" applyBorder="1" applyAlignment="1">
      <alignment horizontal="right" vertical="center"/>
    </xf>
    <xf numFmtId="9" fontId="17" fillId="9" borderId="22" xfId="1" applyNumberFormat="1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vertical="center"/>
    </xf>
    <xf numFmtId="0" fontId="14" fillId="9" borderId="27" xfId="0" applyFont="1" applyFill="1" applyBorder="1" applyAlignment="1">
      <alignment horizontal="center" vertical="center" wrapText="1"/>
    </xf>
    <xf numFmtId="0" fontId="14" fillId="9" borderId="27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right" vertical="center"/>
    </xf>
    <xf numFmtId="0" fontId="18" fillId="9" borderId="29" xfId="0" applyFont="1" applyFill="1" applyBorder="1" applyAlignment="1">
      <alignment horizontal="right" vertical="center"/>
    </xf>
    <xf numFmtId="0" fontId="5" fillId="9" borderId="29" xfId="0" applyFont="1" applyFill="1" applyBorder="1" applyAlignment="1">
      <alignment horizontal="right" vertical="center"/>
    </xf>
    <xf numFmtId="0" fontId="16" fillId="9" borderId="29" xfId="0" applyFont="1" applyFill="1" applyBorder="1" applyAlignment="1">
      <alignment horizontal="right" vertical="center"/>
    </xf>
    <xf numFmtId="0" fontId="16" fillId="9" borderId="30" xfId="0" applyFont="1" applyFill="1" applyBorder="1" applyAlignment="1">
      <alignment horizontal="right" vertical="center"/>
    </xf>
    <xf numFmtId="21" fontId="17" fillId="9" borderId="29" xfId="1" applyNumberFormat="1" applyFont="1" applyFill="1" applyBorder="1" applyAlignment="1">
      <alignment horizontal="center" vertical="center"/>
    </xf>
    <xf numFmtId="2" fontId="17" fillId="9" borderId="29" xfId="1" applyNumberFormat="1" applyFont="1" applyFill="1" applyBorder="1" applyAlignment="1">
      <alignment horizontal="center" vertical="center"/>
    </xf>
    <xf numFmtId="1" fontId="17" fillId="9" borderId="31" xfId="1" applyNumberFormat="1" applyFont="1" applyFill="1" applyBorder="1" applyAlignment="1">
      <alignment horizontal="center" vertical="center"/>
    </xf>
    <xf numFmtId="1" fontId="17" fillId="9" borderId="32" xfId="1" applyNumberFormat="1" applyFont="1" applyFill="1" applyBorder="1" applyAlignment="1">
      <alignment horizontal="center" vertical="center"/>
    </xf>
    <xf numFmtId="9" fontId="17" fillId="9" borderId="32" xfId="2" applyFont="1" applyFill="1" applyBorder="1" applyAlignment="1">
      <alignment horizontal="center" vertical="center"/>
    </xf>
    <xf numFmtId="1" fontId="17" fillId="9" borderId="33" xfId="1" applyNumberFormat="1" applyFont="1" applyFill="1" applyBorder="1" applyAlignment="1">
      <alignment horizontal="center" vertical="center"/>
    </xf>
    <xf numFmtId="167" fontId="17" fillId="9" borderId="31" xfId="1" applyNumberFormat="1" applyFont="1" applyFill="1" applyBorder="1" applyAlignment="1">
      <alignment horizontal="right" vertical="center"/>
    </xf>
    <xf numFmtId="167" fontId="17" fillId="9" borderId="32" xfId="1" applyNumberFormat="1" applyFont="1" applyFill="1" applyBorder="1" applyAlignment="1">
      <alignment horizontal="right" vertical="center"/>
    </xf>
    <xf numFmtId="9" fontId="17" fillId="9" borderId="15" xfId="1" applyNumberFormat="1" applyFont="1" applyFill="1" applyBorder="1" applyAlignment="1">
      <alignment horizontal="center" vertical="center"/>
    </xf>
    <xf numFmtId="9" fontId="17" fillId="10" borderId="8" xfId="1" applyNumberFormat="1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21" fontId="17" fillId="6" borderId="16" xfId="1" applyNumberFormat="1" applyFont="1" applyFill="1" applyBorder="1" applyAlignment="1">
      <alignment horizontal="center" vertical="center" wrapText="1"/>
    </xf>
    <xf numFmtId="2" fontId="17" fillId="6" borderId="16" xfId="1" applyNumberFormat="1" applyFont="1" applyFill="1" applyBorder="1" applyAlignment="1">
      <alignment horizontal="center" vertical="center" wrapText="1"/>
    </xf>
    <xf numFmtId="1" fontId="17" fillId="6" borderId="10" xfId="1" applyNumberFormat="1" applyFont="1" applyFill="1" applyBorder="1" applyAlignment="1">
      <alignment horizontal="center" vertical="center" wrapText="1"/>
    </xf>
    <xf numFmtId="1" fontId="17" fillId="6" borderId="11" xfId="0" applyNumberFormat="1" applyFont="1" applyFill="1" applyBorder="1" applyAlignment="1">
      <alignment horizontal="center" vertical="center" wrapText="1"/>
    </xf>
    <xf numFmtId="9" fontId="17" fillId="6" borderId="11" xfId="0" applyNumberFormat="1" applyFont="1" applyFill="1" applyBorder="1" applyAlignment="1">
      <alignment horizontal="center" vertical="center" wrapText="1"/>
    </xf>
    <xf numFmtId="0" fontId="22" fillId="0" borderId="0" xfId="0" applyFont="1"/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vertical="center"/>
    </xf>
    <xf numFmtId="0" fontId="10" fillId="7" borderId="27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left" vertical="center"/>
    </xf>
    <xf numFmtId="0" fontId="9" fillId="7" borderId="27" xfId="0" applyFont="1" applyFill="1" applyBorder="1" applyAlignment="1">
      <alignment horizontal="center" vertical="center"/>
    </xf>
    <xf numFmtId="0" fontId="20" fillId="7" borderId="27" xfId="0" applyFont="1" applyFill="1" applyBorder="1" applyAlignment="1">
      <alignment horizontal="center" vertical="center" wrapText="1"/>
    </xf>
    <xf numFmtId="21" fontId="9" fillId="7" borderId="27" xfId="1" applyNumberFormat="1" applyFont="1" applyFill="1" applyBorder="1" applyAlignment="1">
      <alignment horizontal="center" vertical="center"/>
    </xf>
    <xf numFmtId="2" fontId="9" fillId="7" borderId="27" xfId="1" applyNumberFormat="1" applyFont="1" applyFill="1" applyBorder="1" applyAlignment="1">
      <alignment horizontal="center" vertical="center"/>
    </xf>
    <xf numFmtId="1" fontId="10" fillId="7" borderId="27" xfId="1" applyNumberFormat="1" applyFont="1" applyFill="1" applyBorder="1" applyAlignment="1">
      <alignment horizontal="center" vertical="center"/>
    </xf>
    <xf numFmtId="1" fontId="10" fillId="7" borderId="27" xfId="0" applyNumberFormat="1" applyFont="1" applyFill="1" applyBorder="1" applyAlignment="1">
      <alignment horizontal="center" vertical="center"/>
    </xf>
    <xf numFmtId="1" fontId="9" fillId="7" borderId="27" xfId="0" applyNumberFormat="1" applyFont="1" applyFill="1" applyBorder="1" applyAlignment="1">
      <alignment horizontal="center" vertical="center"/>
    </xf>
    <xf numFmtId="9" fontId="10" fillId="7" borderId="27" xfId="0" applyNumberFormat="1" applyFont="1" applyFill="1" applyBorder="1" applyAlignment="1">
      <alignment horizontal="center" vertical="center"/>
    </xf>
    <xf numFmtId="164" fontId="10" fillId="7" borderId="27" xfId="1" applyFont="1" applyFill="1" applyBorder="1" applyAlignment="1">
      <alignment horizontal="center" vertical="center"/>
    </xf>
    <xf numFmtId="164" fontId="9" fillId="7" borderId="27" xfId="1" applyFont="1" applyFill="1" applyBorder="1" applyAlignment="1">
      <alignment horizontal="center" vertical="center"/>
    </xf>
    <xf numFmtId="1" fontId="17" fillId="6" borderId="15" xfId="0" applyNumberFormat="1" applyFont="1" applyFill="1" applyBorder="1" applyAlignment="1">
      <alignment horizontal="center" vertical="center" wrapText="1"/>
    </xf>
    <xf numFmtId="1" fontId="11" fillId="4" borderId="18" xfId="2" applyNumberFormat="1" applyFont="1" applyFill="1" applyBorder="1" applyAlignment="1">
      <alignment horizontal="center" vertical="center"/>
    </xf>
    <xf numFmtId="164" fontId="17" fillId="6" borderId="16" xfId="1" applyFont="1" applyFill="1" applyBorder="1" applyAlignment="1">
      <alignment horizontal="center" vertical="center" wrapText="1"/>
    </xf>
    <xf numFmtId="9" fontId="17" fillId="6" borderId="16" xfId="1" applyNumberFormat="1" applyFont="1" applyFill="1" applyBorder="1" applyAlignment="1">
      <alignment horizontal="center" vertical="center" wrapText="1"/>
    </xf>
    <xf numFmtId="9" fontId="9" fillId="5" borderId="16" xfId="1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64" fontId="17" fillId="11" borderId="16" xfId="1" applyFont="1" applyFill="1" applyBorder="1" applyAlignment="1">
      <alignment horizontal="center" vertical="center" wrapText="1"/>
    </xf>
    <xf numFmtId="168" fontId="10" fillId="12" borderId="16" xfId="1" applyNumberFormat="1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49" fontId="25" fillId="7" borderId="16" xfId="3" applyNumberFormat="1" applyFont="1" applyFill="1" applyBorder="1" applyAlignment="1">
      <alignment vertical="center"/>
    </xf>
    <xf numFmtId="14" fontId="26" fillId="6" borderId="16" xfId="0" applyNumberFormat="1" applyFont="1" applyFill="1" applyBorder="1" applyAlignment="1">
      <alignment horizontal="center" vertical="center" textRotation="45" wrapText="1"/>
    </xf>
    <xf numFmtId="14" fontId="26" fillId="6" borderId="11" xfId="0" applyNumberFormat="1" applyFont="1" applyFill="1" applyBorder="1" applyAlignment="1">
      <alignment horizontal="center" vertical="center" textRotation="45" wrapText="1"/>
    </xf>
    <xf numFmtId="0" fontId="24" fillId="14" borderId="16" xfId="0" applyFont="1" applyFill="1" applyBorder="1" applyAlignment="1">
      <alignment horizontal="center" vertical="center" wrapText="1"/>
    </xf>
    <xf numFmtId="1" fontId="27" fillId="0" borderId="16" xfId="0" applyNumberFormat="1" applyFont="1" applyBorder="1" applyAlignment="1">
      <alignment horizontal="center" vertical="center"/>
    </xf>
    <xf numFmtId="1" fontId="27" fillId="14" borderId="16" xfId="0" applyNumberFormat="1" applyFont="1" applyFill="1" applyBorder="1" applyAlignment="1">
      <alignment horizontal="center" vertical="center"/>
    </xf>
    <xf numFmtId="2" fontId="27" fillId="14" borderId="16" xfId="0" applyNumberFormat="1" applyFont="1" applyFill="1" applyBorder="1" applyAlignment="1">
      <alignment horizontal="center" vertical="center"/>
    </xf>
    <xf numFmtId="1" fontId="5" fillId="6" borderId="11" xfId="0" applyNumberFormat="1" applyFont="1" applyFill="1" applyBorder="1" applyAlignment="1">
      <alignment horizontal="center" vertical="center" textRotation="45" wrapText="1"/>
    </xf>
    <xf numFmtId="9" fontId="5" fillId="6" borderId="11" xfId="0" applyNumberFormat="1" applyFont="1" applyFill="1" applyBorder="1" applyAlignment="1">
      <alignment horizontal="center" vertical="center" textRotation="45" wrapText="1"/>
    </xf>
    <xf numFmtId="1" fontId="5" fillId="6" borderId="15" xfId="0" applyNumberFormat="1" applyFont="1" applyFill="1" applyBorder="1" applyAlignment="1">
      <alignment horizontal="center" vertical="center" textRotation="45" wrapText="1"/>
    </xf>
    <xf numFmtId="1" fontId="23" fillId="7" borderId="16" xfId="3" applyNumberFormat="1" applyFont="1" applyFill="1" applyBorder="1" applyAlignment="1">
      <alignment vertical="center"/>
    </xf>
    <xf numFmtId="1" fontId="27" fillId="15" borderId="16" xfId="0" applyNumberFormat="1" applyFont="1" applyFill="1" applyBorder="1" applyAlignment="1">
      <alignment horizontal="center" vertical="center"/>
    </xf>
    <xf numFmtId="1" fontId="9" fillId="4" borderId="16" xfId="2" applyNumberFormat="1" applyFont="1" applyFill="1" applyBorder="1" applyAlignment="1">
      <alignment horizontal="center" vertical="center"/>
    </xf>
    <xf numFmtId="9" fontId="10" fillId="4" borderId="16" xfId="2" applyFont="1" applyFill="1" applyBorder="1" applyAlignment="1">
      <alignment horizontal="center" vertical="center"/>
    </xf>
    <xf numFmtId="1" fontId="11" fillId="4" borderId="16" xfId="2" applyNumberFormat="1" applyFont="1" applyFill="1" applyBorder="1" applyAlignment="1">
      <alignment horizontal="center" vertical="center"/>
    </xf>
    <xf numFmtId="49" fontId="25" fillId="14" borderId="16" xfId="3" applyNumberFormat="1" applyFont="1" applyFill="1" applyBorder="1" applyAlignment="1">
      <alignment vertical="center"/>
    </xf>
    <xf numFmtId="1" fontId="23" fillId="0" borderId="16" xfId="3" applyNumberFormat="1" applyFont="1" applyBorder="1" applyAlignment="1">
      <alignment vertical="center"/>
    </xf>
    <xf numFmtId="0" fontId="28" fillId="0" borderId="0" xfId="0" applyFont="1"/>
    <xf numFmtId="0" fontId="29" fillId="0" borderId="16" xfId="0" applyFont="1" applyBorder="1"/>
    <xf numFmtId="1" fontId="29" fillId="0" borderId="16" xfId="0" applyNumberFormat="1" applyFont="1" applyBorder="1"/>
    <xf numFmtId="0" fontId="28" fillId="0" borderId="16" xfId="0" applyFont="1" applyBorder="1"/>
    <xf numFmtId="1" fontId="29" fillId="16" borderId="17" xfId="0" applyNumberFormat="1" applyFont="1" applyFill="1" applyBorder="1" applyAlignment="1">
      <alignment horizontal="center" vertical="center"/>
    </xf>
    <xf numFmtId="1" fontId="29" fillId="16" borderId="16" xfId="0" applyNumberFormat="1" applyFont="1" applyFill="1" applyBorder="1" applyAlignment="1">
      <alignment horizontal="center" vertical="center"/>
    </xf>
    <xf numFmtId="9" fontId="29" fillId="16" borderId="16" xfId="2" applyFont="1" applyFill="1" applyBorder="1" applyAlignment="1">
      <alignment horizontal="center" vertical="center"/>
    </xf>
    <xf numFmtId="9" fontId="29" fillId="0" borderId="16" xfId="2" applyFont="1" applyBorder="1"/>
    <xf numFmtId="0" fontId="30" fillId="0" borderId="16" xfId="0" applyFont="1" applyBorder="1"/>
    <xf numFmtId="1" fontId="32" fillId="6" borderId="11" xfId="0" applyNumberFormat="1" applyFont="1" applyFill="1" applyBorder="1" applyAlignment="1">
      <alignment horizontal="center" vertical="center" textRotation="45" wrapText="1"/>
    </xf>
    <xf numFmtId="0" fontId="28" fillId="0" borderId="24" xfId="0" applyFont="1" applyBorder="1"/>
    <xf numFmtId="0" fontId="33" fillId="0" borderId="0" xfId="0" applyFont="1" applyAlignment="1">
      <alignment horizontal="center" vertical="center"/>
    </xf>
    <xf numFmtId="0" fontId="35" fillId="7" borderId="0" xfId="0" applyFont="1" applyFill="1" applyAlignment="1">
      <alignment vertical="center"/>
    </xf>
    <xf numFmtId="0" fontId="36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37" fillId="7" borderId="0" xfId="0" applyFont="1" applyFill="1" applyAlignment="1">
      <alignment vertical="center"/>
    </xf>
    <xf numFmtId="0" fontId="38" fillId="18" borderId="16" xfId="0" applyFont="1" applyFill="1" applyBorder="1" applyAlignment="1">
      <alignment horizontal="center" vertical="center"/>
    </xf>
    <xf numFmtId="0" fontId="38" fillId="18" borderId="16" xfId="0" applyFont="1" applyFill="1" applyBorder="1" applyAlignment="1">
      <alignment horizontal="center" vertical="center" wrapText="1"/>
    </xf>
    <xf numFmtId="17" fontId="38" fillId="18" borderId="16" xfId="0" applyNumberFormat="1" applyFont="1" applyFill="1" applyBorder="1" applyAlignment="1">
      <alignment horizontal="center" vertical="center"/>
    </xf>
    <xf numFmtId="17" fontId="38" fillId="8" borderId="16" xfId="0" applyNumberFormat="1" applyFont="1" applyFill="1" applyBorder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38" fillId="18" borderId="36" xfId="0" applyFont="1" applyFill="1" applyBorder="1" applyAlignment="1">
      <alignment horizontal="center" vertical="center" wrapText="1"/>
    </xf>
    <xf numFmtId="0" fontId="38" fillId="19" borderId="16" xfId="0" applyFont="1" applyFill="1" applyBorder="1" applyAlignment="1">
      <alignment horizontal="center" vertical="center"/>
    </xf>
    <xf numFmtId="49" fontId="38" fillId="20" borderId="16" xfId="0" applyNumberFormat="1" applyFont="1" applyFill="1" applyBorder="1" applyAlignment="1">
      <alignment horizontal="center" vertical="center"/>
    </xf>
    <xf numFmtId="2" fontId="40" fillId="7" borderId="16" xfId="0" applyNumberFormat="1" applyFont="1" applyFill="1" applyBorder="1" applyAlignment="1">
      <alignment vertical="center"/>
    </xf>
    <xf numFmtId="2" fontId="40" fillId="8" borderId="16" xfId="0" applyNumberFormat="1" applyFont="1" applyFill="1" applyBorder="1" applyAlignment="1">
      <alignment vertical="center"/>
    </xf>
    <xf numFmtId="2" fontId="39" fillId="12" borderId="16" xfId="0" applyNumberFormat="1" applyFont="1" applyFill="1" applyBorder="1" applyAlignment="1">
      <alignment vertical="center"/>
    </xf>
    <xf numFmtId="2" fontId="40" fillId="7" borderId="0" xfId="0" applyNumberFormat="1" applyFont="1" applyFill="1" applyAlignment="1">
      <alignment vertical="center"/>
    </xf>
    <xf numFmtId="2" fontId="39" fillId="4" borderId="37" xfId="0" applyNumberFormat="1" applyFont="1" applyFill="1" applyBorder="1" applyAlignment="1">
      <alignment vertical="center"/>
    </xf>
    <xf numFmtId="0" fontId="40" fillId="7" borderId="0" xfId="0" applyFont="1" applyFill="1" applyAlignment="1">
      <alignment vertical="center"/>
    </xf>
    <xf numFmtId="0" fontId="38" fillId="19" borderId="24" xfId="0" applyFont="1" applyFill="1" applyBorder="1" applyAlignment="1">
      <alignment horizontal="center" vertical="center"/>
    </xf>
    <xf numFmtId="1" fontId="38" fillId="19" borderId="24" xfId="0" applyNumberFormat="1" applyFont="1" applyFill="1" applyBorder="1" applyAlignment="1">
      <alignment horizontal="center" vertical="center"/>
    </xf>
    <xf numFmtId="49" fontId="38" fillId="20" borderId="24" xfId="0" applyNumberFormat="1" applyFont="1" applyFill="1" applyBorder="1" applyAlignment="1">
      <alignment horizontal="center" vertical="center"/>
    </xf>
    <xf numFmtId="49" fontId="38" fillId="19" borderId="24" xfId="0" applyNumberFormat="1" applyFont="1" applyFill="1" applyBorder="1" applyAlignment="1">
      <alignment horizontal="center" vertical="center"/>
    </xf>
    <xf numFmtId="2" fontId="38" fillId="22" borderId="16" xfId="0" applyNumberFormat="1" applyFont="1" applyFill="1" applyBorder="1" applyAlignment="1">
      <alignment vertical="center"/>
    </xf>
    <xf numFmtId="9" fontId="38" fillId="22" borderId="16" xfId="2" applyFont="1" applyFill="1" applyBorder="1" applyAlignment="1">
      <alignment vertical="center"/>
    </xf>
    <xf numFmtId="0" fontId="39" fillId="7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168" fontId="40" fillId="7" borderId="0" xfId="0" applyNumberFormat="1" applyFont="1" applyFill="1" applyAlignment="1">
      <alignment vertical="center"/>
    </xf>
    <xf numFmtId="0" fontId="35" fillId="2" borderId="38" xfId="0" applyFont="1" applyFill="1" applyBorder="1" applyAlignment="1">
      <alignment vertical="center"/>
    </xf>
    <xf numFmtId="0" fontId="41" fillId="7" borderId="0" xfId="0" applyFont="1" applyFill="1" applyAlignment="1">
      <alignment vertical="center"/>
    </xf>
    <xf numFmtId="0" fontId="22" fillId="17" borderId="0" xfId="0" applyFont="1" applyFill="1" applyAlignment="1">
      <alignment horizontal="left"/>
    </xf>
    <xf numFmtId="1" fontId="29" fillId="0" borderId="24" xfId="0" applyNumberFormat="1" applyFont="1" applyBorder="1"/>
    <xf numFmtId="0" fontId="29" fillId="0" borderId="0" xfId="0" applyFont="1"/>
    <xf numFmtId="0" fontId="41" fillId="7" borderId="0" xfId="6" applyFont="1" applyFill="1" applyAlignment="1">
      <alignment vertical="center"/>
    </xf>
    <xf numFmtId="0" fontId="35" fillId="7" borderId="0" xfId="6" applyFont="1" applyFill="1" applyAlignment="1">
      <alignment vertical="center"/>
    </xf>
    <xf numFmtId="168" fontId="40" fillId="7" borderId="0" xfId="6" applyNumberFormat="1" applyFont="1" applyFill="1" applyAlignment="1">
      <alignment vertical="center"/>
    </xf>
    <xf numFmtId="0" fontId="42" fillId="7" borderId="41" xfId="6" applyFont="1" applyFill="1" applyBorder="1" applyAlignment="1">
      <alignment vertical="center"/>
    </xf>
    <xf numFmtId="0" fontId="43" fillId="7" borderId="41" xfId="6" applyFont="1" applyFill="1" applyBorder="1" applyAlignment="1">
      <alignment vertical="center"/>
    </xf>
    <xf numFmtId="168" fontId="44" fillId="7" borderId="41" xfId="6" applyNumberFormat="1" applyFont="1" applyFill="1" applyBorder="1" applyAlignment="1">
      <alignment vertical="center"/>
    </xf>
    <xf numFmtId="0" fontId="42" fillId="7" borderId="40" xfId="6" applyFont="1" applyFill="1" applyBorder="1" applyAlignment="1">
      <alignment vertical="center"/>
    </xf>
    <xf numFmtId="0" fontId="43" fillId="7" borderId="40" xfId="6" applyFont="1" applyFill="1" applyBorder="1" applyAlignment="1">
      <alignment vertical="center"/>
    </xf>
    <xf numFmtId="168" fontId="44" fillId="7" borderId="40" xfId="6" applyNumberFormat="1" applyFont="1" applyFill="1" applyBorder="1" applyAlignment="1">
      <alignment vertical="center"/>
    </xf>
    <xf numFmtId="0" fontId="41" fillId="2" borderId="0" xfId="6" applyFont="1" applyFill="1" applyAlignment="1">
      <alignment vertical="center"/>
    </xf>
    <xf numFmtId="0" fontId="35" fillId="2" borderId="39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9" fillId="7" borderId="0" xfId="6" applyFont="1" applyFill="1" applyAlignment="1">
      <alignment vertical="center"/>
    </xf>
    <xf numFmtId="168" fontId="38" fillId="24" borderId="37" xfId="6" applyNumberFormat="1" applyFont="1" applyFill="1" applyBorder="1" applyAlignment="1">
      <alignment vertical="center"/>
    </xf>
    <xf numFmtId="168" fontId="38" fillId="22" borderId="16" xfId="6" applyNumberFormat="1" applyFont="1" applyFill="1" applyBorder="1" applyAlignment="1">
      <alignment vertical="center"/>
    </xf>
    <xf numFmtId="168" fontId="38" fillId="21" borderId="16" xfId="6" applyNumberFormat="1" applyFont="1" applyFill="1" applyBorder="1" applyAlignment="1">
      <alignment vertical="center"/>
    </xf>
    <xf numFmtId="0" fontId="40" fillId="7" borderId="0" xfId="6" applyFont="1" applyFill="1" applyAlignment="1">
      <alignment vertical="center"/>
    </xf>
    <xf numFmtId="168" fontId="39" fillId="4" borderId="37" xfId="6" applyNumberFormat="1" applyFont="1" applyFill="1" applyBorder="1" applyAlignment="1">
      <alignment vertical="center"/>
    </xf>
    <xf numFmtId="168" fontId="39" fillId="12" borderId="16" xfId="6" applyNumberFormat="1" applyFont="1" applyFill="1" applyBorder="1" applyAlignment="1">
      <alignment vertical="center"/>
    </xf>
    <xf numFmtId="168" fontId="40" fillId="7" borderId="16" xfId="6" applyNumberFormat="1" applyFont="1" applyFill="1" applyBorder="1" applyAlignment="1">
      <alignment vertical="center"/>
    </xf>
    <xf numFmtId="168" fontId="39" fillId="23" borderId="16" xfId="6" applyNumberFormat="1" applyFont="1" applyFill="1" applyBorder="1" applyAlignment="1">
      <alignment vertical="center"/>
    </xf>
    <xf numFmtId="0" fontId="38" fillId="19" borderId="16" xfId="6" applyFont="1" applyFill="1" applyBorder="1" applyAlignment="1">
      <alignment horizontal="center" vertical="center"/>
    </xf>
    <xf numFmtId="1" fontId="38" fillId="19" borderId="24" xfId="6" applyNumberFormat="1" applyFont="1" applyFill="1" applyBorder="1" applyAlignment="1">
      <alignment horizontal="center" vertical="center"/>
    </xf>
    <xf numFmtId="49" fontId="38" fillId="20" borderId="24" xfId="6" applyNumberFormat="1" applyFont="1" applyFill="1" applyBorder="1" applyAlignment="1">
      <alignment horizontal="center" vertical="center"/>
    </xf>
    <xf numFmtId="0" fontId="38" fillId="19" borderId="24" xfId="6" applyFont="1" applyFill="1" applyBorder="1" applyAlignment="1">
      <alignment horizontal="center" vertical="center"/>
    </xf>
    <xf numFmtId="49" fontId="38" fillId="19" borderId="24" xfId="6" applyNumberFormat="1" applyFont="1" applyFill="1" applyBorder="1" applyAlignment="1">
      <alignment horizontal="center" vertical="center"/>
    </xf>
    <xf numFmtId="49" fontId="38" fillId="20" borderId="16" xfId="6" applyNumberFormat="1" applyFont="1" applyFill="1" applyBorder="1" applyAlignment="1">
      <alignment horizontal="center" vertical="center"/>
    </xf>
    <xf numFmtId="0" fontId="39" fillId="7" borderId="0" xfId="6" applyFont="1" applyFill="1" applyAlignment="1">
      <alignment horizontal="center" vertical="center"/>
    </xf>
    <xf numFmtId="0" fontId="38" fillId="18" borderId="36" xfId="6" applyFont="1" applyFill="1" applyBorder="1" applyAlignment="1">
      <alignment horizontal="center" vertical="center" wrapText="1"/>
    </xf>
    <xf numFmtId="0" fontId="38" fillId="18" borderId="16" xfId="6" applyFont="1" applyFill="1" applyBorder="1" applyAlignment="1">
      <alignment horizontal="center" vertical="center" wrapText="1"/>
    </xf>
    <xf numFmtId="17" fontId="38" fillId="18" borderId="16" xfId="6" applyNumberFormat="1" applyFont="1" applyFill="1" applyBorder="1" applyAlignment="1">
      <alignment horizontal="center" vertical="center"/>
    </xf>
    <xf numFmtId="0" fontId="38" fillId="18" borderId="16" xfId="6" applyFont="1" applyFill="1" applyBorder="1" applyAlignment="1">
      <alignment horizontal="center" vertical="center"/>
    </xf>
    <xf numFmtId="0" fontId="37" fillId="7" borderId="0" xfId="6" applyFont="1" applyFill="1" applyAlignment="1">
      <alignment vertical="center"/>
    </xf>
    <xf numFmtId="0" fontId="4" fillId="7" borderId="0" xfId="6" applyFont="1" applyFill="1" applyAlignment="1">
      <alignment vertical="center"/>
    </xf>
    <xf numFmtId="0" fontId="36" fillId="7" borderId="0" xfId="6" applyFont="1" applyFill="1" applyAlignment="1">
      <alignment vertical="center"/>
    </xf>
    <xf numFmtId="1" fontId="12" fillId="7" borderId="17" xfId="3" applyNumberFormat="1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7" xfId="3" applyNumberFormat="1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49" fontId="25" fillId="0" borderId="16" xfId="3" applyNumberFormat="1" applyFont="1" applyBorder="1" applyAlignment="1">
      <alignment vertical="center"/>
    </xf>
    <xf numFmtId="1" fontId="11" fillId="0" borderId="16" xfId="2" applyNumberFormat="1" applyFont="1" applyFill="1" applyBorder="1" applyAlignment="1">
      <alignment horizontal="center" vertical="center"/>
    </xf>
    <xf numFmtId="164" fontId="39" fillId="7" borderId="0" xfId="6" applyNumberFormat="1" applyFont="1" applyFill="1" applyAlignment="1">
      <alignment vertical="center"/>
    </xf>
    <xf numFmtId="164" fontId="41" fillId="7" borderId="0" xfId="6" applyNumberFormat="1" applyFont="1" applyFill="1" applyAlignment="1">
      <alignment vertical="center"/>
    </xf>
    <xf numFmtId="9" fontId="41" fillId="7" borderId="0" xfId="2" applyFont="1" applyFill="1" applyAlignment="1">
      <alignment vertical="center"/>
    </xf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32" xfId="0" applyBorder="1"/>
    <xf numFmtId="0" fontId="0" fillId="0" borderId="3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3" fillId="0" borderId="42" xfId="0" applyFont="1" applyBorder="1"/>
    <xf numFmtId="0" fontId="33" fillId="0" borderId="43" xfId="0" applyFont="1" applyBorder="1"/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/>
    <xf numFmtId="0" fontId="33" fillId="0" borderId="19" xfId="0" applyFont="1" applyBorder="1"/>
    <xf numFmtId="0" fontId="33" fillId="0" borderId="16" xfId="0" applyFont="1" applyBorder="1"/>
    <xf numFmtId="167" fontId="33" fillId="0" borderId="16" xfId="0" applyNumberFormat="1" applyFont="1" applyBorder="1"/>
    <xf numFmtId="0" fontId="33" fillId="0" borderId="31" xfId="0" applyFont="1" applyBorder="1"/>
    <xf numFmtId="0" fontId="33" fillId="0" borderId="32" xfId="0" applyFont="1" applyBorder="1"/>
    <xf numFmtId="169" fontId="9" fillId="8" borderId="16" xfId="1" applyNumberFormat="1" applyFont="1" applyFill="1" applyBorder="1" applyAlignment="1">
      <alignment horizontal="center" vertical="center"/>
    </xf>
    <xf numFmtId="0" fontId="46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/>
    </xf>
    <xf numFmtId="0" fontId="47" fillId="3" borderId="16" xfId="0" applyFont="1" applyFill="1" applyBorder="1" applyAlignment="1">
      <alignment horizontal="center" vertical="center" wrapText="1"/>
    </xf>
    <xf numFmtId="0" fontId="47" fillId="3" borderId="16" xfId="0" applyFont="1" applyFill="1" applyBorder="1" applyAlignment="1">
      <alignment horizontal="center" vertical="center"/>
    </xf>
    <xf numFmtId="1" fontId="28" fillId="0" borderId="0" xfId="0" applyNumberFormat="1" applyFont="1"/>
    <xf numFmtId="164" fontId="17" fillId="25" borderId="16" xfId="1" applyFont="1" applyFill="1" applyBorder="1" applyAlignment="1">
      <alignment horizontal="center" vertical="center" wrapText="1"/>
    </xf>
    <xf numFmtId="49" fontId="25" fillId="14" borderId="11" xfId="3" applyNumberFormat="1" applyFont="1" applyFill="1" applyBorder="1" applyAlignment="1">
      <alignment vertical="center"/>
    </xf>
    <xf numFmtId="0" fontId="24" fillId="14" borderId="11" xfId="0" applyFont="1" applyFill="1" applyBorder="1" applyAlignment="1">
      <alignment horizontal="center" vertical="center" wrapText="1"/>
    </xf>
    <xf numFmtId="1" fontId="27" fillId="14" borderId="11" xfId="0" applyNumberFormat="1" applyFont="1" applyFill="1" applyBorder="1" applyAlignment="1">
      <alignment horizontal="center" vertical="center"/>
    </xf>
    <xf numFmtId="2" fontId="27" fillId="14" borderId="11" xfId="0" applyNumberFormat="1" applyFont="1" applyFill="1" applyBorder="1" applyAlignment="1">
      <alignment horizontal="center" vertical="center"/>
    </xf>
    <xf numFmtId="1" fontId="27" fillId="15" borderId="11" xfId="0" applyNumberFormat="1" applyFont="1" applyFill="1" applyBorder="1" applyAlignment="1">
      <alignment horizontal="center" vertical="center"/>
    </xf>
    <xf numFmtId="9" fontId="10" fillId="4" borderId="11" xfId="2" applyFont="1" applyFill="1" applyBorder="1" applyAlignment="1">
      <alignment horizontal="center" vertical="center"/>
    </xf>
    <xf numFmtId="1" fontId="11" fillId="4" borderId="11" xfId="2" applyNumberFormat="1" applyFont="1" applyFill="1" applyBorder="1" applyAlignment="1">
      <alignment horizontal="center" vertical="center"/>
    </xf>
    <xf numFmtId="0" fontId="30" fillId="0" borderId="24" xfId="0" applyFont="1" applyBorder="1"/>
    <xf numFmtId="1" fontId="29" fillId="16" borderId="24" xfId="0" applyNumberFormat="1" applyFont="1" applyFill="1" applyBorder="1" applyAlignment="1">
      <alignment horizontal="center" vertical="center"/>
    </xf>
    <xf numFmtId="9" fontId="29" fillId="16" borderId="24" xfId="2" applyFont="1" applyFill="1" applyBorder="1" applyAlignment="1">
      <alignment horizontal="center" vertical="center"/>
    </xf>
    <xf numFmtId="49" fontId="25" fillId="0" borderId="21" xfId="3" applyNumberFormat="1" applyFont="1" applyBorder="1" applyAlignment="1">
      <alignment vertical="center"/>
    </xf>
    <xf numFmtId="0" fontId="24" fillId="0" borderId="21" xfId="0" applyFont="1" applyBorder="1" applyAlignment="1">
      <alignment horizontal="center" vertical="center" wrapText="1"/>
    </xf>
    <xf numFmtId="1" fontId="27" fillId="0" borderId="21" xfId="0" applyNumberFormat="1" applyFont="1" applyBorder="1" applyAlignment="1">
      <alignment horizontal="center" vertical="center"/>
    </xf>
    <xf numFmtId="2" fontId="27" fillId="0" borderId="21" xfId="0" applyNumberFormat="1" applyFont="1" applyBorder="1" applyAlignment="1">
      <alignment horizontal="center" vertical="center"/>
    </xf>
    <xf numFmtId="1" fontId="9" fillId="0" borderId="21" xfId="2" applyNumberFormat="1" applyFont="1" applyFill="1" applyBorder="1" applyAlignment="1">
      <alignment horizontal="center" vertical="center"/>
    </xf>
    <xf numFmtId="9" fontId="10" fillId="0" borderId="21" xfId="2" applyFont="1" applyFill="1" applyBorder="1" applyAlignment="1">
      <alignment horizontal="center" vertical="center"/>
    </xf>
    <xf numFmtId="1" fontId="11" fillId="0" borderId="21" xfId="2" applyNumberFormat="1" applyFont="1" applyFill="1" applyBorder="1" applyAlignment="1">
      <alignment horizontal="center" vertical="center"/>
    </xf>
    <xf numFmtId="0" fontId="0" fillId="0" borderId="21" xfId="0" applyBorder="1"/>
    <xf numFmtId="1" fontId="0" fillId="0" borderId="0" xfId="0" applyNumberFormat="1"/>
    <xf numFmtId="9" fontId="40" fillId="0" borderId="16" xfId="2" applyFont="1" applyFill="1" applyBorder="1" applyAlignment="1">
      <alignment vertical="center"/>
    </xf>
    <xf numFmtId="0" fontId="41" fillId="7" borderId="16" xfId="6" applyFont="1" applyFill="1" applyBorder="1" applyAlignment="1">
      <alignment vertical="center"/>
    </xf>
    <xf numFmtId="0" fontId="35" fillId="7" borderId="16" xfId="6" applyFont="1" applyFill="1" applyBorder="1" applyAlignment="1">
      <alignment vertical="center"/>
    </xf>
    <xf numFmtId="165" fontId="35" fillId="7" borderId="16" xfId="6" applyNumberFormat="1" applyFont="1" applyFill="1" applyBorder="1" applyAlignment="1">
      <alignment vertical="center"/>
    </xf>
    <xf numFmtId="9" fontId="35" fillId="7" borderId="16" xfId="7" applyFont="1" applyFill="1" applyBorder="1" applyAlignment="1">
      <alignment vertical="center"/>
    </xf>
    <xf numFmtId="164" fontId="17" fillId="26" borderId="16" xfId="1" applyFont="1" applyFill="1" applyBorder="1" applyAlignment="1">
      <alignment horizontal="center" vertical="center" wrapText="1"/>
    </xf>
    <xf numFmtId="168" fontId="10" fillId="27" borderId="16" xfId="1" applyNumberFormat="1" applyFont="1" applyFill="1" applyBorder="1" applyAlignment="1">
      <alignment horizontal="center" vertical="center"/>
    </xf>
    <xf numFmtId="164" fontId="17" fillId="28" borderId="16" xfId="1" applyFont="1" applyFill="1" applyBorder="1" applyAlignment="1">
      <alignment horizontal="center" vertical="center" wrapText="1"/>
    </xf>
    <xf numFmtId="9" fontId="10" fillId="7" borderId="27" xfId="2" applyFont="1" applyFill="1" applyBorder="1" applyAlignment="1">
      <alignment horizontal="center" vertical="center"/>
    </xf>
    <xf numFmtId="1" fontId="13" fillId="7" borderId="17" xfId="3" applyNumberFormat="1" applyFont="1" applyFill="1" applyBorder="1" applyAlignment="1">
      <alignment vertical="center"/>
    </xf>
    <xf numFmtId="49" fontId="13" fillId="7" borderId="17" xfId="3" applyNumberFormat="1" applyFont="1" applyFill="1" applyBorder="1" applyAlignment="1">
      <alignment vertical="center"/>
    </xf>
    <xf numFmtId="1" fontId="13" fillId="0" borderId="17" xfId="3" applyNumberFormat="1" applyFont="1" applyBorder="1" applyAlignment="1">
      <alignment vertical="center"/>
    </xf>
    <xf numFmtId="49" fontId="13" fillId="7" borderId="10" xfId="3" applyNumberFormat="1" applyFont="1" applyFill="1" applyBorder="1" applyAlignment="1">
      <alignment vertical="center"/>
    </xf>
    <xf numFmtId="0" fontId="48" fillId="29" borderId="16" xfId="0" applyFont="1" applyFill="1" applyBorder="1"/>
    <xf numFmtId="0" fontId="0" fillId="0" borderId="12" xfId="0" applyBorder="1"/>
    <xf numFmtId="0" fontId="0" fillId="7" borderId="0" xfId="0" applyFill="1" applyAlignment="1">
      <alignment horizontal="center" vertical="center"/>
    </xf>
    <xf numFmtId="0" fontId="0" fillId="7" borderId="0" xfId="0" applyFill="1"/>
    <xf numFmtId="14" fontId="0" fillId="7" borderId="24" xfId="0" applyNumberFormat="1" applyFill="1" applyBorder="1" applyAlignment="1">
      <alignment horizontal="center"/>
    </xf>
    <xf numFmtId="171" fontId="0" fillId="7" borderId="24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 vertical="center"/>
    </xf>
    <xf numFmtId="169" fontId="0" fillId="7" borderId="24" xfId="0" applyNumberFormat="1" applyFill="1" applyBorder="1" applyAlignment="1">
      <alignment horizontal="right"/>
    </xf>
    <xf numFmtId="173" fontId="0" fillId="7" borderId="24" xfId="0" applyNumberFormat="1" applyFill="1" applyBorder="1"/>
    <xf numFmtId="1" fontId="0" fillId="7" borderId="24" xfId="0" applyNumberFormat="1" applyFill="1" applyBorder="1"/>
    <xf numFmtId="0" fontId="0" fillId="7" borderId="24" xfId="0" applyFill="1" applyBorder="1"/>
    <xf numFmtId="14" fontId="0" fillId="7" borderId="0" xfId="0" applyNumberFormat="1" applyFill="1" applyAlignment="1">
      <alignment horizontal="center"/>
    </xf>
    <xf numFmtId="170" fontId="48" fillId="30" borderId="49" xfId="0" applyNumberFormat="1" applyFont="1" applyFill="1" applyBorder="1" applyAlignment="1">
      <alignment horizontal="center" vertical="center"/>
    </xf>
    <xf numFmtId="0" fontId="48" fillId="30" borderId="50" xfId="0" applyFont="1" applyFill="1" applyBorder="1" applyAlignment="1">
      <alignment horizontal="center" vertical="center"/>
    </xf>
    <xf numFmtId="0" fontId="0" fillId="30" borderId="50" xfId="0" applyFill="1" applyBorder="1" applyAlignment="1">
      <alignment horizontal="center" vertical="center"/>
    </xf>
    <xf numFmtId="0" fontId="48" fillId="30" borderId="51" xfId="0" applyFont="1" applyFill="1" applyBorder="1" applyAlignment="1">
      <alignment horizontal="center" vertical="center"/>
    </xf>
    <xf numFmtId="14" fontId="33" fillId="31" borderId="52" xfId="0" applyNumberFormat="1" applyFont="1" applyFill="1" applyBorder="1" applyAlignment="1">
      <alignment horizontal="center"/>
    </xf>
    <xf numFmtId="0" fontId="33" fillId="31" borderId="47" xfId="0" applyFont="1" applyFill="1" applyBorder="1" applyAlignment="1">
      <alignment horizontal="center" vertical="center"/>
    </xf>
    <xf numFmtId="1" fontId="49" fillId="31" borderId="46" xfId="0" applyNumberFormat="1" applyFont="1" applyFill="1" applyBorder="1" applyAlignment="1">
      <alignment horizontal="center"/>
    </xf>
    <xf numFmtId="172" fontId="0" fillId="31" borderId="45" xfId="0" applyNumberFormat="1" applyFill="1" applyBorder="1" applyAlignment="1">
      <alignment horizontal="right"/>
    </xf>
    <xf numFmtId="173" fontId="0" fillId="31" borderId="46" xfId="0" applyNumberFormat="1" applyFill="1" applyBorder="1"/>
    <xf numFmtId="172" fontId="0" fillId="31" borderId="19" xfId="0" applyNumberFormat="1" applyFill="1" applyBorder="1" applyAlignment="1">
      <alignment horizontal="right"/>
    </xf>
    <xf numFmtId="173" fontId="0" fillId="31" borderId="16" xfId="0" applyNumberFormat="1" applyFill="1" applyBorder="1"/>
    <xf numFmtId="169" fontId="0" fillId="31" borderId="19" xfId="0" applyNumberFormat="1" applyFill="1" applyBorder="1" applyAlignment="1">
      <alignment horizontal="right"/>
    </xf>
    <xf numFmtId="1" fontId="33" fillId="31" borderId="46" xfId="0" applyNumberFormat="1" applyFont="1" applyFill="1" applyBorder="1" applyAlignment="1">
      <alignment horizontal="center" vertical="center"/>
    </xf>
    <xf numFmtId="0" fontId="33" fillId="31" borderId="46" xfId="0" applyFont="1" applyFill="1" applyBorder="1" applyAlignment="1">
      <alignment horizontal="center"/>
    </xf>
    <xf numFmtId="0" fontId="33" fillId="31" borderId="48" xfId="0" applyFont="1" applyFill="1" applyBorder="1"/>
    <xf numFmtId="1" fontId="33" fillId="31" borderId="16" xfId="0" applyNumberFormat="1" applyFont="1" applyFill="1" applyBorder="1" applyAlignment="1">
      <alignment horizontal="center" vertical="center"/>
    </xf>
    <xf numFmtId="0" fontId="33" fillId="31" borderId="20" xfId="0" applyFont="1" applyFill="1" applyBorder="1"/>
    <xf numFmtId="0" fontId="48" fillId="30" borderId="16" xfId="0" applyFont="1" applyFill="1" applyBorder="1" applyAlignment="1">
      <alignment horizontal="center" vertical="center"/>
    </xf>
    <xf numFmtId="0" fontId="0" fillId="7" borderId="16" xfId="0" applyFill="1" applyBorder="1"/>
    <xf numFmtId="14" fontId="33" fillId="31" borderId="16" xfId="0" applyNumberFormat="1" applyFont="1" applyFill="1" applyBorder="1" applyAlignment="1">
      <alignment horizontal="center"/>
    </xf>
    <xf numFmtId="14" fontId="0" fillId="7" borderId="16" xfId="0" applyNumberFormat="1" applyFill="1" applyBorder="1" applyAlignment="1">
      <alignment horizontal="center"/>
    </xf>
    <xf numFmtId="14" fontId="0" fillId="7" borderId="16" xfId="0" applyNumberFormat="1" applyFill="1" applyBorder="1"/>
    <xf numFmtId="0" fontId="33" fillId="31" borderId="16" xfId="0" applyFont="1" applyFill="1" applyBorder="1" applyAlignment="1">
      <alignment horizontal="center" vertical="center"/>
    </xf>
    <xf numFmtId="172" fontId="0" fillId="31" borderId="16" xfId="0" applyNumberFormat="1" applyFill="1" applyBorder="1" applyAlignment="1">
      <alignment horizontal="right"/>
    </xf>
    <xf numFmtId="1" fontId="49" fillId="31" borderId="16" xfId="0" applyNumberFormat="1" applyFont="1" applyFill="1" applyBorder="1" applyAlignment="1">
      <alignment horizontal="center"/>
    </xf>
    <xf numFmtId="0" fontId="33" fillId="31" borderId="16" xfId="0" applyFont="1" applyFill="1" applyBorder="1" applyAlignment="1">
      <alignment horizontal="center"/>
    </xf>
    <xf numFmtId="0" fontId="33" fillId="31" borderId="16" xfId="0" applyFont="1" applyFill="1" applyBorder="1"/>
    <xf numFmtId="0" fontId="33" fillId="31" borderId="54" xfId="0" applyFont="1" applyFill="1" applyBorder="1"/>
    <xf numFmtId="0" fontId="48" fillId="30" borderId="56" xfId="0" applyFont="1" applyFill="1" applyBorder="1" applyAlignment="1">
      <alignment horizontal="center" vertical="center"/>
    </xf>
    <xf numFmtId="0" fontId="48" fillId="30" borderId="57" xfId="0" applyFont="1" applyFill="1" applyBorder="1" applyAlignment="1">
      <alignment horizontal="center" vertical="center"/>
    </xf>
    <xf numFmtId="14" fontId="33" fillId="31" borderId="58" xfId="0" applyNumberFormat="1" applyFont="1" applyFill="1" applyBorder="1" applyAlignment="1">
      <alignment horizontal="center"/>
    </xf>
    <xf numFmtId="0" fontId="33" fillId="31" borderId="59" xfId="0" applyFont="1" applyFill="1" applyBorder="1" applyAlignment="1">
      <alignment horizontal="center" vertical="center"/>
    </xf>
    <xf numFmtId="169" fontId="0" fillId="31" borderId="9" xfId="0" applyNumberFormat="1" applyFill="1" applyBorder="1" applyAlignment="1">
      <alignment horizontal="right"/>
    </xf>
    <xf numFmtId="173" fontId="0" fillId="31" borderId="11" xfId="0" applyNumberFormat="1" applyFill="1" applyBorder="1"/>
    <xf numFmtId="1" fontId="49" fillId="31" borderId="60" xfId="0" applyNumberFormat="1" applyFont="1" applyFill="1" applyBorder="1" applyAlignment="1">
      <alignment horizontal="center"/>
    </xf>
    <xf numFmtId="1" fontId="33" fillId="31" borderId="11" xfId="0" applyNumberFormat="1" applyFont="1" applyFill="1" applyBorder="1" applyAlignment="1">
      <alignment horizontal="center" vertical="center"/>
    </xf>
    <xf numFmtId="0" fontId="33" fillId="31" borderId="60" xfId="0" applyFont="1" applyFill="1" applyBorder="1" applyAlignment="1">
      <alignment horizontal="center"/>
    </xf>
    <xf numFmtId="0" fontId="33" fillId="31" borderId="14" xfId="0" applyFont="1" applyFill="1" applyBorder="1"/>
    <xf numFmtId="0" fontId="33" fillId="31" borderId="61" xfId="0" applyFont="1" applyFill="1" applyBorder="1"/>
    <xf numFmtId="174" fontId="33" fillId="31" borderId="63" xfId="0" applyNumberFormat="1" applyFont="1" applyFill="1" applyBorder="1" applyAlignment="1">
      <alignment horizontal="center"/>
    </xf>
    <xf numFmtId="0" fontId="48" fillId="30" borderId="64" xfId="0" applyFont="1" applyFill="1" applyBorder="1" applyAlignment="1">
      <alignment horizontal="center" vertical="center"/>
    </xf>
    <xf numFmtId="0" fontId="48" fillId="30" borderId="55" xfId="0" applyFont="1" applyFill="1" applyBorder="1" applyAlignment="1">
      <alignment horizontal="center" vertical="center"/>
    </xf>
    <xf numFmtId="0" fontId="48" fillId="30" borderId="65" xfId="0" applyFont="1" applyFill="1" applyBorder="1" applyAlignment="1">
      <alignment horizontal="center" vertical="center"/>
    </xf>
    <xf numFmtId="174" fontId="33" fillId="31" borderId="66" xfId="0" applyNumberFormat="1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7" fillId="6" borderId="67" xfId="0" applyFont="1" applyFill="1" applyBorder="1" applyAlignment="1">
      <alignment horizontal="center" vertical="center" wrapText="1"/>
    </xf>
    <xf numFmtId="14" fontId="26" fillId="6" borderId="24" xfId="0" applyNumberFormat="1" applyFont="1" applyFill="1" applyBorder="1" applyAlignment="1">
      <alignment horizontal="center" vertical="center" textRotation="45" wrapText="1"/>
    </xf>
    <xf numFmtId="14" fontId="26" fillId="6" borderId="12" xfId="0" applyNumberFormat="1" applyFont="1" applyFill="1" applyBorder="1" applyAlignment="1">
      <alignment horizontal="center" vertical="center" textRotation="45" wrapText="1"/>
    </xf>
    <xf numFmtId="1" fontId="5" fillId="6" borderId="12" xfId="0" applyNumberFormat="1" applyFont="1" applyFill="1" applyBorder="1" applyAlignment="1">
      <alignment horizontal="center" vertical="center" textRotation="45" wrapText="1"/>
    </xf>
    <xf numFmtId="1" fontId="32" fillId="6" borderId="12" xfId="0" applyNumberFormat="1" applyFont="1" applyFill="1" applyBorder="1" applyAlignment="1">
      <alignment horizontal="center" vertical="center" textRotation="45" wrapText="1"/>
    </xf>
    <xf numFmtId="9" fontId="5" fillId="6" borderId="12" xfId="0" applyNumberFormat="1" applyFont="1" applyFill="1" applyBorder="1" applyAlignment="1">
      <alignment horizontal="center" vertical="center" textRotation="45" wrapText="1"/>
    </xf>
    <xf numFmtId="1" fontId="5" fillId="6" borderId="13" xfId="0" applyNumberFormat="1" applyFont="1" applyFill="1" applyBorder="1" applyAlignment="1">
      <alignment horizontal="center" vertical="center" textRotation="45" wrapText="1"/>
    </xf>
    <xf numFmtId="1" fontId="9" fillId="4" borderId="11" xfId="2" applyNumberFormat="1" applyFont="1" applyFill="1" applyBorder="1" applyAlignment="1">
      <alignment horizontal="center" vertical="center"/>
    </xf>
    <xf numFmtId="0" fontId="33" fillId="0" borderId="0" xfId="0" applyFont="1"/>
    <xf numFmtId="1" fontId="29" fillId="8" borderId="16" xfId="0" applyNumberFormat="1" applyFont="1" applyFill="1" applyBorder="1" applyAlignment="1">
      <alignment horizontal="center" vertical="center"/>
    </xf>
    <xf numFmtId="9" fontId="29" fillId="0" borderId="18" xfId="2" applyFont="1" applyBorder="1"/>
    <xf numFmtId="1" fontId="29" fillId="0" borderId="18" xfId="0" applyNumberFormat="1" applyFont="1" applyBorder="1"/>
    <xf numFmtId="0" fontId="29" fillId="0" borderId="18" xfId="0" applyFont="1" applyBorder="1"/>
    <xf numFmtId="0" fontId="28" fillId="0" borderId="11" xfId="0" applyFont="1" applyBorder="1"/>
    <xf numFmtId="0" fontId="28" fillId="0" borderId="12" xfId="0" applyFont="1" applyBorder="1"/>
    <xf numFmtId="49" fontId="25" fillId="7" borderId="11" xfId="3" applyNumberFormat="1" applyFont="1" applyFill="1" applyBorder="1" applyAlignment="1">
      <alignment vertical="center"/>
    </xf>
    <xf numFmtId="0" fontId="24" fillId="0" borderId="11" xfId="0" applyFont="1" applyBorder="1" applyAlignment="1">
      <alignment horizontal="center" vertical="center" wrapText="1"/>
    </xf>
    <xf numFmtId="1" fontId="27" fillId="0" borderId="11" xfId="0" applyNumberFormat="1" applyFont="1" applyBorder="1" applyAlignment="1">
      <alignment horizontal="center" vertical="center"/>
    </xf>
    <xf numFmtId="14" fontId="33" fillId="7" borderId="16" xfId="0" applyNumberFormat="1" applyFont="1" applyFill="1" applyBorder="1" applyAlignment="1">
      <alignment horizontal="center"/>
    </xf>
    <xf numFmtId="1" fontId="23" fillId="7" borderId="11" xfId="3" applyNumberFormat="1" applyFont="1" applyFill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/>
    </xf>
    <xf numFmtId="14" fontId="0" fillId="6" borderId="16" xfId="0" applyNumberFormat="1" applyFill="1" applyBorder="1" applyAlignment="1">
      <alignment vertical="center" textRotation="45"/>
    </xf>
    <xf numFmtId="14" fontId="0" fillId="6" borderId="16" xfId="0" applyNumberFormat="1" applyFill="1" applyBorder="1" applyAlignment="1">
      <alignment horizontal="center" vertical="center" textRotation="90"/>
    </xf>
    <xf numFmtId="170" fontId="0" fillId="6" borderId="16" xfId="0" applyNumberFormat="1" applyFill="1" applyBorder="1" applyAlignment="1">
      <alignment horizontal="center" vertical="center" textRotation="90"/>
    </xf>
    <xf numFmtId="164" fontId="4" fillId="15" borderId="22" xfId="1" applyFont="1" applyFill="1" applyBorder="1" applyAlignment="1">
      <alignment horizontal="center" vertical="center"/>
    </xf>
    <xf numFmtId="164" fontId="4" fillId="15" borderId="4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166" fontId="4" fillId="4" borderId="6" xfId="1" applyNumberFormat="1" applyFont="1" applyFill="1" applyBorder="1" applyAlignment="1">
      <alignment horizontal="center" vertical="center"/>
    </xf>
    <xf numFmtId="164" fontId="4" fillId="5" borderId="16" xfId="1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34" fillId="2" borderId="0" xfId="0" applyFont="1" applyFill="1" applyAlignment="1">
      <alignment horizontal="left" vertical="center"/>
    </xf>
    <xf numFmtId="0" fontId="38" fillId="21" borderId="18" xfId="0" applyFont="1" applyFill="1" applyBorder="1" applyAlignment="1">
      <alignment horizontal="center" vertical="center"/>
    </xf>
    <xf numFmtId="0" fontId="38" fillId="21" borderId="17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48" fillId="30" borderId="68" xfId="0" applyFont="1" applyFill="1" applyBorder="1" applyAlignment="1">
      <alignment horizontal="center" vertical="center"/>
    </xf>
    <xf numFmtId="0" fontId="48" fillId="30" borderId="69" xfId="0" applyFont="1" applyFill="1" applyBorder="1" applyAlignment="1">
      <alignment horizontal="center" vertical="center"/>
    </xf>
    <xf numFmtId="0" fontId="48" fillId="30" borderId="53" xfId="0" applyFont="1" applyFill="1" applyBorder="1" applyAlignment="1">
      <alignment horizontal="center" vertical="center"/>
    </xf>
    <xf numFmtId="0" fontId="48" fillId="30" borderId="62" xfId="0" applyFont="1" applyFill="1" applyBorder="1" applyAlignment="1">
      <alignment horizontal="center" vertical="center"/>
    </xf>
    <xf numFmtId="0" fontId="48" fillId="30" borderId="50" xfId="0" applyFont="1" applyFill="1" applyBorder="1" applyAlignment="1">
      <alignment horizontal="center" vertical="center"/>
    </xf>
    <xf numFmtId="0" fontId="31" fillId="17" borderId="0" xfId="0" applyFont="1" applyFill="1" applyAlignment="1">
      <alignment horizontal="left"/>
    </xf>
    <xf numFmtId="0" fontId="22" fillId="17" borderId="0" xfId="0" applyFont="1" applyFill="1" applyAlignment="1">
      <alignment horizontal="left"/>
    </xf>
    <xf numFmtId="0" fontId="31" fillId="17" borderId="4" xfId="0" applyFont="1" applyFill="1" applyBorder="1" applyAlignment="1">
      <alignment horizontal="left"/>
    </xf>
    <xf numFmtId="0" fontId="22" fillId="17" borderId="4" xfId="0" applyFont="1" applyFill="1" applyBorder="1" applyAlignment="1">
      <alignment horizontal="left"/>
    </xf>
    <xf numFmtId="0" fontId="34" fillId="2" borderId="0" xfId="6" applyFont="1" applyFill="1" applyAlignment="1">
      <alignment horizontal="left" vertical="center"/>
    </xf>
    <xf numFmtId="0" fontId="38" fillId="21" borderId="18" xfId="6" applyFont="1" applyFill="1" applyBorder="1" applyAlignment="1">
      <alignment horizontal="center" vertical="center"/>
    </xf>
    <xf numFmtId="0" fontId="38" fillId="21" borderId="17" xfId="6" applyFont="1" applyFill="1" applyBorder="1" applyAlignment="1">
      <alignment horizontal="center" vertical="center"/>
    </xf>
  </cellXfs>
  <cellStyles count="12">
    <cellStyle name="Comma" xfId="1" builtinId="3"/>
    <cellStyle name="Comma 10 2 2 2 2 2 2 2 2 5" xfId="4" xr:uid="{F7196301-9482-4D3F-ABD3-F0695C5FDF28}"/>
    <cellStyle name="Comma 10 2 2 2 2 2 2 2 2 5 2" xfId="9" xr:uid="{22B84556-CB2E-46E6-A222-67A7FC087C3D}"/>
    <cellStyle name="Comma 2" xfId="5" xr:uid="{C52184E8-CA5A-4A46-BFD1-354225B273D2}"/>
    <cellStyle name="Comma 2 2" xfId="10" xr:uid="{8DB5EF2B-0C56-4D12-89F3-866F3153BA4E}"/>
    <cellStyle name="Comma 3" xfId="8" xr:uid="{A48D73E6-6EDF-4C22-9FB9-228D70308951}"/>
    <cellStyle name="Comma 4" xfId="11" xr:uid="{904BF9F4-1DE9-4D00-86B4-E164D97B5DE4}"/>
    <cellStyle name="Normal" xfId="0" builtinId="0"/>
    <cellStyle name="Normal 2" xfId="6" xr:uid="{212A6141-DB86-42D8-9B27-05556709BE32}"/>
    <cellStyle name="Normal 6" xfId="3" xr:uid="{CB2553B2-A256-4E24-9445-81022C3DBDAD}"/>
    <cellStyle name="Percent" xfId="2" builtinId="5"/>
    <cellStyle name="Percent 2" xfId="7" xr:uid="{15F7BE5E-ED78-447E-994A-31C0BFFF1393}"/>
  </cellStyles>
  <dxfs count="57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3B3B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C646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>
          <stop position="0">
            <color theme="0"/>
          </stop>
          <stop position="1">
            <color theme="9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alignment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border outline="0">
        <top style="thick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/>
        <right/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73" formatCode="h:mm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hh:mm:ss;@"/>
      <fill>
        <patternFill patternType="solid">
          <fgColor indexed="64"/>
          <bgColor theme="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4" formatCode="dd/mm/yy;@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outline="0">
        <left style="thick">
          <color indexed="64"/>
        </left>
        <right style="medium">
          <color indexed="64"/>
        </right>
        <top style="thick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E59FF1C1-9EA4-4BB0-9A03-B94F456EE1E7}"/>
  </tableStyles>
  <colors>
    <mruColors>
      <color rgb="FFFF3B3B"/>
      <color rgb="FFFF4747"/>
      <color rgb="FFFC6464"/>
      <color rgb="FFCC0000"/>
      <color rgb="FFFF8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8F8B5A-C008-4E55-9F1D-53D136A891E8}" name="Table2" displayName="Table2" ref="A2:J19" totalsRowShown="0" headerRowDxfId="577" tableBorderDxfId="576">
  <autoFilter ref="A2:J19" xr:uid="{F28F8B5A-C008-4E55-9F1D-53D136A891E8}"/>
  <sortState xmlns:xlrd2="http://schemas.microsoft.com/office/spreadsheetml/2017/richdata2" ref="A3:J19">
    <sortCondition ref="B2:B19"/>
  </sortState>
  <tableColumns count="10">
    <tableColumn id="1" xr3:uid="{19D97066-8889-4A97-9A2D-824E74083282}" name="DATE" dataDxfId="575"/>
    <tableColumn id="2" xr3:uid="{4BD2469F-C5E4-4C34-B415-C72D000D8118}" name="TRUCK ID" dataDxfId="574"/>
    <tableColumn id="3" xr3:uid="{0375138E-0680-428F-9F97-FE75937970A2}" name="DELAYS" dataDxfId="573"/>
    <tableColumn id="4" xr3:uid="{A38F438D-B3AB-4B00-A09E-6E0B8A3CE340}" name="START TIME" dataDxfId="572"/>
    <tableColumn id="5" xr3:uid="{AF1EAAFB-AD2E-497B-BCED-69799CA5AF8B}" name="STOP TIME" dataDxfId="571">
      <calculatedColumnFormula>NOW()</calculatedColumnFormula>
    </tableColumn>
    <tableColumn id="6" xr3:uid="{D85B872F-8E99-4146-B5E3-F92474D41FC1}" name="HOURS" dataDxfId="570">
      <calculatedColumnFormula>(E3-D3)*24</calculatedColumnFormula>
    </tableColumn>
    <tableColumn id="7" xr3:uid="{0A45787E-177F-4827-B6F6-B7147BCEBB14}" name="DAYS" dataDxfId="569">
      <calculatedColumnFormula>DATEDIF(D3,E3,"D")</calculatedColumnFormula>
    </tableColumn>
    <tableColumn id="8" xr3:uid="{7A7FC113-839D-498D-8B0F-E62F837AE5D4}" name="DEPARTMENTS" dataDxfId="568"/>
    <tableColumn id="9" xr3:uid="{10DF257B-AC6A-41F9-8BF0-9130D1C49A52}" name="NOTES" dataDxfId="567"/>
    <tableColumn id="10" xr3:uid="{2CF9093F-7791-4628-A352-4BD67FC2C5D1}" name="MONTH" dataDxfId="566">
      <calculatedColumnFormula>SUMIF(B:B,B3,G:G)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34E222-7D78-49D5-9F9A-287EE0EE7A0E}" name="Table5" displayName="Table5" ref="K2:L19" totalsRowShown="0" headerRowDxfId="565" tableBorderDxfId="564">
  <autoFilter ref="K2:L19" xr:uid="{EA34E222-7D78-49D5-9F9A-287EE0EE7A0E}"/>
  <tableColumns count="2">
    <tableColumn id="1" xr3:uid="{4C51E814-3B3B-4CDC-BFE9-00BDC1EE40B1}" name="HOURS" dataDxfId="563">
      <calculatedColumnFormula>(J3-I3)*24</calculatedColumnFormula>
    </tableColumn>
    <tableColumn id="2" xr3:uid="{ED01DFE1-739E-4565-9523-C428C50527EE}" name="DAYS" dataDxfId="562">
      <calculatedColumnFormula>Table5[[#This Row],[HOURS]]/24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AC6139-699B-4401-BB9D-CF2E87D05AE6}" name="Table35278910" displayName="Table35278910" ref="B2:AM23" totalsRowShown="0" tableBorderDxfId="326">
  <autoFilter ref="B2:AM23" xr:uid="{9FAC6139-699B-4401-BB9D-CF2E87D05AE6}"/>
  <sortState xmlns:xlrd2="http://schemas.microsoft.com/office/spreadsheetml/2017/richdata2" ref="B3:AM22">
    <sortCondition ref="B2:B22"/>
  </sortState>
  <tableColumns count="38">
    <tableColumn id="1" xr3:uid="{7C2F2AB9-D070-475D-9A32-F80B9EC8DC9D}" name="TRUCK NO" dataDxfId="325"/>
    <tableColumn id="2" xr3:uid="{21AC42FA-CFA7-4E94-9E34-DD147550B1C9}" name="DRIVER NAME" dataDxfId="324"/>
    <tableColumn id="3" xr3:uid="{388F0320-4491-492D-96C7-C4998754502A}" name="1st July" dataDxfId="323"/>
    <tableColumn id="4" xr3:uid="{5569F03B-6DBD-4A9F-BAE8-BFB93C55D412}" name="2nd July" dataDxfId="322"/>
    <tableColumn id="5" xr3:uid="{DFDE5B47-C865-46BA-935A-420B0A0B8FE3}" name="3rd July" dataDxfId="321"/>
    <tableColumn id="6" xr3:uid="{7B7D1D52-0F04-4A0A-8756-DC0EE002FC7F}" name="4th July" dataDxfId="320"/>
    <tableColumn id="7" xr3:uid="{81786080-9DC1-498F-8E88-B95371B428D4}" name="5th July" dataDxfId="319"/>
    <tableColumn id="8" xr3:uid="{C4371B6D-FBCA-45A9-93F1-695D30FE63BF}" name="6th July" dataDxfId="318"/>
    <tableColumn id="9" xr3:uid="{FB5F6F8C-9A43-4515-8364-DF875DAF677B}" name="7th July" dataDxfId="317"/>
    <tableColumn id="10" xr3:uid="{7A920DF0-EC0A-4A56-8568-4CE2F6C00712}" name="8th July" dataDxfId="316"/>
    <tableColumn id="11" xr3:uid="{3B2B7C41-AB8A-43F6-94A7-C6BED71187D3}" name="9th July" dataDxfId="315"/>
    <tableColumn id="12" xr3:uid="{4DA2424E-C9DF-42EF-9C77-FD0C4CF7EB86}" name="10th July" dataDxfId="314"/>
    <tableColumn id="13" xr3:uid="{7985251A-09DF-45E6-AC49-3B03A10FCA1A}" name="11th July" dataDxfId="313"/>
    <tableColumn id="14" xr3:uid="{CE2DA433-F73A-4A6F-B3A8-CDD0091856F8}" name="12th July" dataDxfId="312"/>
    <tableColumn id="15" xr3:uid="{13C1D078-C2DA-4C86-8FD1-8071929E9574}" name="13th July" dataDxfId="311"/>
    <tableColumn id="16" xr3:uid="{3B524302-7766-4591-8BA5-7D0464A1D47A}" name="14th July" dataDxfId="310"/>
    <tableColumn id="17" xr3:uid="{D648C7C9-90C5-4F9A-B7CA-3B5D714A47D7}" name="15th July" dataDxfId="309"/>
    <tableColumn id="18" xr3:uid="{8E724E69-D8D9-4D08-B50B-B91AFA14D573}" name="16th July" dataDxfId="308"/>
    <tableColumn id="19" xr3:uid="{BD092E9C-9F3B-43FA-844C-8E9B28FFDE97}" name="17th July" dataDxfId="307"/>
    <tableColumn id="20" xr3:uid="{7C027CA8-5489-42DB-8281-35543ECAEE77}" name="18th July" dataDxfId="306"/>
    <tableColumn id="21" xr3:uid="{0DECE1AA-215F-4916-A325-9F3EB54EFB28}" name="19th July" dataDxfId="305"/>
    <tableColumn id="22" xr3:uid="{F9FBE791-C65C-4A8E-9C81-E4DA04A54146}" name="20th July" dataDxfId="304"/>
    <tableColumn id="23" xr3:uid="{B1273D31-994E-40C4-8AC4-57E977F80DE7}" name="21st July" dataDxfId="303"/>
    <tableColumn id="24" xr3:uid="{E523DEA2-2C75-4F34-B142-AABEB98521BA}" name="22nd July" dataDxfId="302"/>
    <tableColumn id="25" xr3:uid="{6B9AFFF0-A5CC-42CD-800E-91FC12285CF3}" name="23rd July" dataDxfId="301"/>
    <tableColumn id="26" xr3:uid="{B7AABBF1-A713-4B5C-B00C-72B19ABE15A5}" name="24th July" dataDxfId="300"/>
    <tableColumn id="27" xr3:uid="{62C4423D-EBF3-4824-BE2A-5500BE86DCDD}" name="25th July" dataDxfId="299"/>
    <tableColumn id="28" xr3:uid="{414821A6-36C1-4DE2-96C7-70ADBA6EB21F}" name="26th July" dataDxfId="298"/>
    <tableColumn id="29" xr3:uid="{02C38F47-666A-4835-B918-59EB8D91CD36}" name="27th July" dataDxfId="297"/>
    <tableColumn id="30" xr3:uid="{473D2C3E-F6BC-4515-AC1A-7CC51B72E33D}" name="28th July" dataDxfId="296"/>
    <tableColumn id="31" xr3:uid="{E77AFB1B-6A82-4260-A691-39AC8D720F90}" name="29th July" dataDxfId="295"/>
    <tableColumn id="32" xr3:uid="{691202A4-7345-4F4B-840D-1D51030A7DE5}" name="30th July" dataDxfId="294"/>
    <tableColumn id="33" xr3:uid="{8AFE6EC6-DAE7-4CDE-84FD-FBC6FA65AA7B}" name="31st July" dataDxfId="293"/>
    <tableColumn id="34" xr3:uid="{AD8514A8-D84C-44BD-B511-A15CCF3D2B43}" name="AVERAGE MILES" dataDxfId="292">
      <calculatedColumnFormula>AVERAGE(D3:AG3)</calculatedColumnFormula>
    </tableColumn>
    <tableColumn id="35" xr3:uid="{108847C1-82C3-484F-B2E9-C50CA751549D}" name="MTD MILEAGE PLAN" dataDxfId="291"/>
    <tableColumn id="36" xr3:uid="{AF945799-F793-4631-A10A-77C80D08F271}" name=" TOTAL MILEAGE COVERED (MTD)" dataDxfId="290">
      <calculatedColumnFormula>SUM(D3:AH3)</calculatedColumnFormula>
    </tableColumn>
    <tableColumn id="37" xr3:uid="{1E28232C-A244-4E69-BD7A-082F6ACB8B16}" name="MTD MILE PERF%" dataDxfId="289">
      <calculatedColumnFormula>AK3/AJ3</calculatedColumnFormula>
    </tableColumn>
    <tableColumn id="38" xr3:uid="{2E1623CF-8FBA-4C61-9F55-E807BC06BE41}" name="MILEAGE DIFFERENCE (MTD)" dataDxfId="288">
      <calculatedColumnFormula>AJ3-AK3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DEF833-E95D-4112-BCC0-575B43123DC8}" name="Table352789" displayName="Table352789" ref="B2:AM23" totalsRowShown="0" tableBorderDxfId="561">
  <autoFilter ref="B2:AM23" xr:uid="{AFDEF833-E95D-4112-BCC0-575B43123DC8}"/>
  <sortState xmlns:xlrd2="http://schemas.microsoft.com/office/spreadsheetml/2017/richdata2" ref="B3:AM23">
    <sortCondition descending="1" ref="AK2:AK23"/>
  </sortState>
  <tableColumns count="38">
    <tableColumn id="1" xr3:uid="{6709D079-8D31-4B21-93A5-E95F6C0788E7}" name="TRUCK NO" dataDxfId="560"/>
    <tableColumn id="2" xr3:uid="{179B9A7B-06E6-488A-80D1-A2327C145441}" name="DRIVER NAME" dataDxfId="559"/>
    <tableColumn id="3" xr3:uid="{F93E5390-0B2B-436A-818D-70DC3EC40630}" name="1st June" dataDxfId="558"/>
    <tableColumn id="4" xr3:uid="{9279A4FB-0B5B-4039-B251-0C3C80B3F2AA}" name="2nd June" dataDxfId="557"/>
    <tableColumn id="5" xr3:uid="{E45142E4-BFAC-4265-B730-3296BEFF114C}" name="3rd June" dataDxfId="556"/>
    <tableColumn id="6" xr3:uid="{41277885-1521-482B-AE5F-E2E4C410F725}" name="4th June" dataDxfId="555"/>
    <tableColumn id="7" xr3:uid="{253B4934-9FDD-4224-A00F-2F07D632CBE2}" name="5th June" dataDxfId="554"/>
    <tableColumn id="8" xr3:uid="{844106EA-AB7F-4D25-B306-ADA1390FE4E2}" name="6th June" dataDxfId="553"/>
    <tableColumn id="9" xr3:uid="{3477813A-F0AA-4787-BE0C-6A3359E1F5F2}" name="7th June" dataDxfId="552"/>
    <tableColumn id="10" xr3:uid="{1CAA0EA5-CDC6-4E05-A850-1040E26F11E8}" name="8th June" dataDxfId="551"/>
    <tableColumn id="11" xr3:uid="{18A7EC1A-B256-42CE-B6F6-5BD14093E224}" name="9th June" dataDxfId="550"/>
    <tableColumn id="12" xr3:uid="{39AC7548-5BC1-45B8-BADA-24E1E9904B79}" name="10th June" dataDxfId="549"/>
    <tableColumn id="13" xr3:uid="{649C65F4-B034-42B3-9599-59A14C96F95C}" name="11th June" dataDxfId="548"/>
    <tableColumn id="14" xr3:uid="{21657B5B-13E9-4694-926B-431FEF81F951}" name="12th June" dataDxfId="547"/>
    <tableColumn id="15" xr3:uid="{42DBA8A0-0377-43B8-9C01-19C137CE5DB9}" name="13th June" dataDxfId="546"/>
    <tableColumn id="16" xr3:uid="{4D82CEA7-8E9C-4C3F-ACC6-8448AEF8FD43}" name="14th June" dataDxfId="545"/>
    <tableColumn id="17" xr3:uid="{703293CC-D489-4524-8B15-649EFB37B878}" name="15th June" dataDxfId="544"/>
    <tableColumn id="18" xr3:uid="{D0E93945-18E9-4691-9C60-0BF59A95A18D}" name="16th June" dataDxfId="543"/>
    <tableColumn id="19" xr3:uid="{B6A28FFD-682C-48E4-B363-4629B491355B}" name="17th June" dataDxfId="542"/>
    <tableColumn id="20" xr3:uid="{64F4106C-657B-4594-BE53-4FE2A8C7AC9A}" name="18th June" dataDxfId="541"/>
    <tableColumn id="21" xr3:uid="{FC6928D7-9BB6-4756-84CF-82E0B763928C}" name="19th June" dataDxfId="540"/>
    <tableColumn id="22" xr3:uid="{702C8185-56B9-43B2-B89B-4C87D8E50CB0}" name="20th June" dataDxfId="539"/>
    <tableColumn id="23" xr3:uid="{BDC96B3B-6C11-46C3-968D-1DBE38C913EB}" name="21st June" dataDxfId="538"/>
    <tableColumn id="24" xr3:uid="{D029AE83-4491-4D90-BFF0-6410A4AD91B5}" name="22nd June" dataDxfId="537"/>
    <tableColumn id="25" xr3:uid="{218A80C2-AAE5-49AB-9CD0-052ED53FCF47}" name="23rd June" dataDxfId="536"/>
    <tableColumn id="26" xr3:uid="{3625AE9C-B0E9-4EB2-831D-0BD87530C71F}" name="24th June" dataDxfId="535"/>
    <tableColumn id="27" xr3:uid="{B7303141-3DA5-49C7-BDCB-07FCD0342E8A}" name="25th June" dataDxfId="534"/>
    <tableColumn id="28" xr3:uid="{C16DB685-3740-4464-976D-C6AB4E758036}" name="26th June" dataDxfId="533"/>
    <tableColumn id="29" xr3:uid="{0197BB1F-B8A8-49A3-ABEA-E18E58872118}" name="27th June" dataDxfId="532"/>
    <tableColumn id="30" xr3:uid="{A27AB66B-C55B-4B26-A3CC-540A00D47E45}" name="28th June" dataDxfId="531"/>
    <tableColumn id="31" xr3:uid="{D0E3782D-2A91-4B45-B997-41E01685B684}" name="29th June" dataDxfId="530"/>
    <tableColumn id="32" xr3:uid="{F0ADBB33-14AA-4632-994B-559BEC82723D}" name="30th June" dataDxfId="529"/>
    <tableColumn id="33" xr3:uid="{2C8C6226-DAA9-40B0-A1B0-4B9A684795F0}" name="31st May" dataDxfId="528"/>
    <tableColumn id="34" xr3:uid="{6EF36AB3-9376-4292-B3F0-D6D46095BA2E}" name="AVERAGE MILES" dataDxfId="527">
      <calculatedColumnFormula>AVERAGE(D3:AG3)</calculatedColumnFormula>
    </tableColumn>
    <tableColumn id="35" xr3:uid="{57D371D0-3574-4216-A73B-F7993936F356}" name="MTD MILEAGE PLAN" dataDxfId="526"/>
    <tableColumn id="36" xr3:uid="{CAD8143D-B30A-4B65-9FC7-E849C7BE1E9F}" name=" TOTAL MILEAGE COVERED (MTD)" dataDxfId="525">
      <calculatedColumnFormula>SUM(D3:AH3)</calculatedColumnFormula>
    </tableColumn>
    <tableColumn id="37" xr3:uid="{86B08B7E-F5B6-40D0-88DD-F48852961767}" name="MTD MILE PERF%" dataDxfId="524">
      <calculatedColumnFormula>AK3/AJ3</calculatedColumnFormula>
    </tableColumn>
    <tableColumn id="38" xr3:uid="{D2BB39FF-D4BC-408D-A4FB-E763694439AB}" name="MILEAGE DIFFERENCE (MTD)" dataDxfId="523">
      <calculatedColumnFormula>AJ3-AK3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2553DB-435B-4B36-9EAC-AC4AF4F8F9AD}" name="Table35278" displayName="Table35278" ref="B2:AM23" totalsRowShown="0" tableBorderDxfId="522">
  <sortState xmlns:xlrd2="http://schemas.microsoft.com/office/spreadsheetml/2017/richdata2" ref="B3:AM22">
    <sortCondition ref="B2:B22"/>
  </sortState>
  <tableColumns count="38">
    <tableColumn id="1" xr3:uid="{CB93CAFF-94F1-4301-AD62-565F68D3F4DB}" name="TRUCK NO" dataDxfId="521"/>
    <tableColumn id="2" xr3:uid="{FF8A64B4-A496-43F7-9F07-75EBD82E251D}" name="DRIVER NAME" dataDxfId="520"/>
    <tableColumn id="3" xr3:uid="{5009FE13-EAA2-4C9B-99C5-3E0C979C9EBE}" name="1st May" dataDxfId="519"/>
    <tableColumn id="4" xr3:uid="{080A1103-B7B2-484B-9008-D8E8FD9127E8}" name="2nd May" dataDxfId="518"/>
    <tableColumn id="5" xr3:uid="{F70FB8C7-262D-41FF-A508-35A0FECF4137}" name="3rd May" dataDxfId="517"/>
    <tableColumn id="6" xr3:uid="{7DDC00E3-5705-4FAD-AB67-358161558ABF}" name="4th May" dataDxfId="516"/>
    <tableColumn id="7" xr3:uid="{A0F94C68-954D-4F1A-B42E-AA39F52C3B14}" name="5th May" dataDxfId="515"/>
    <tableColumn id="8" xr3:uid="{677C5E69-CE48-484A-8A31-F9F017B3C1B2}" name="6th May" dataDxfId="514"/>
    <tableColumn id="9" xr3:uid="{6801175B-64E5-4409-839E-E5581C8137B1}" name="7th May" dataDxfId="513"/>
    <tableColumn id="10" xr3:uid="{EB6AD8BC-B910-4ACA-BFB6-56752CB848F7}" name="8th May" dataDxfId="512"/>
    <tableColumn id="11" xr3:uid="{EA6A5A59-2D92-4C7E-889A-0031ADEC1E44}" name="9th May" dataDxfId="511"/>
    <tableColumn id="12" xr3:uid="{074FD3AD-1C45-4FAD-ADD4-133D74778FE5}" name="10th May" dataDxfId="510"/>
    <tableColumn id="13" xr3:uid="{3DC183A4-FD33-479D-A15A-C91815E94974}" name="11th May" dataDxfId="509"/>
    <tableColumn id="14" xr3:uid="{D799D0BE-7863-412E-BC89-F78DEAD23308}" name="12th May" dataDxfId="508"/>
    <tableColumn id="15" xr3:uid="{0F1DEE5A-64B1-4D3F-84C7-B64C3BF0A322}" name="13th May" dataDxfId="507"/>
    <tableColumn id="16" xr3:uid="{7A602267-B4F9-4FE9-A679-2726D95D2BAA}" name="14th May" dataDxfId="506"/>
    <tableColumn id="17" xr3:uid="{1736A1F8-3E36-4C7A-B135-C2B3CD5E5691}" name="15th May" dataDxfId="505"/>
    <tableColumn id="18" xr3:uid="{8440118B-844C-4EF7-876C-A7791EC1BBC7}" name="16th May" dataDxfId="504"/>
    <tableColumn id="19" xr3:uid="{E41C2D63-ECD1-4D54-A37A-07EA0463CCF7}" name="17th May" dataDxfId="503"/>
    <tableColumn id="20" xr3:uid="{92FABCDD-EB49-4029-AD9D-E0CA1140E591}" name="18th May" dataDxfId="502"/>
    <tableColumn id="21" xr3:uid="{2A426BE3-942D-4C16-8ECB-6F09BB17EF0B}" name="19th May" dataDxfId="501"/>
    <tableColumn id="22" xr3:uid="{D7EE1337-D5CF-40A3-8709-763257927728}" name="20th May" dataDxfId="500"/>
    <tableColumn id="23" xr3:uid="{CBD490F9-D59C-4533-966F-475DA5EE20EF}" name="21st May" dataDxfId="499"/>
    <tableColumn id="24" xr3:uid="{2F6EA952-9F27-4740-A716-497B169B0439}" name="22nd May" dataDxfId="498"/>
    <tableColumn id="25" xr3:uid="{9BF79846-0E30-49D7-BA0F-7CAD3E890F00}" name="23rd May" dataDxfId="497"/>
    <tableColumn id="26" xr3:uid="{968A5552-9F90-432A-87B3-FBEFAB4B67E6}" name="24th May" dataDxfId="496"/>
    <tableColumn id="27" xr3:uid="{E54416E4-FC4E-4A39-9086-90D95F83408A}" name="25th May" dataDxfId="495"/>
    <tableColumn id="28" xr3:uid="{73F9F0B0-2368-4A1C-8B8F-69DCE4B2F6A5}" name="26th May" dataDxfId="494"/>
    <tableColumn id="29" xr3:uid="{8372C4A9-9D18-476E-86F6-DA5BA8D3ED53}" name="27th May" dataDxfId="493"/>
    <tableColumn id="30" xr3:uid="{056AD033-B700-4D53-8542-613E55832701}" name="28th May" dataDxfId="492"/>
    <tableColumn id="31" xr3:uid="{699CFB86-E66C-423D-9318-92331E61AD2F}" name="29th May" dataDxfId="491"/>
    <tableColumn id="32" xr3:uid="{49A8EEAB-994B-4249-83CA-55E593EA8D92}" name="30th May" dataDxfId="490"/>
    <tableColumn id="33" xr3:uid="{B626BB5B-CCC8-46A9-A7EE-7736191476CC}" name="31st May" dataDxfId="489"/>
    <tableColumn id="34" xr3:uid="{A3A64972-79F1-4AAE-B5D8-98B137F8A13B}" name="AVERAGE MILES" dataDxfId="488">
      <calculatedColumnFormula>AVERAGE(D3:AG3)</calculatedColumnFormula>
    </tableColumn>
    <tableColumn id="35" xr3:uid="{27A0940C-136E-467F-A9E1-2734B41A084E}" name="MTD MILEAGE PLAN" dataDxfId="487"/>
    <tableColumn id="36" xr3:uid="{201C3C5B-C09F-41D5-BEDB-F959E1B83C3D}" name=" TOTAL MILEAGE COVERED (MTD)" dataDxfId="486">
      <calculatedColumnFormula>SUM(D3:AH3)</calculatedColumnFormula>
    </tableColumn>
    <tableColumn id="37" xr3:uid="{3A20ADCD-F8FE-4317-9E3B-31A24B60FCF6}" name="MTD MILE PERF%" dataDxfId="485">
      <calculatedColumnFormula>AK3/AJ3</calculatedColumnFormula>
    </tableColumn>
    <tableColumn id="38" xr3:uid="{B70F8A65-DED3-4338-B19E-63619F238E18}" name="MILEAGE DIFFERENCE (MTD)" dataDxfId="484">
      <calculatedColumnFormula>AJ3-AK3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F97A0D-6BA1-40EF-BE48-74378D8B51AD}" name="Table3527" displayName="Table3527" ref="B2:AM23" totalsRowShown="0" tableBorderDxfId="483">
  <autoFilter ref="B2:AM23" xr:uid="{A1F97A0D-6BA1-40EF-BE48-74378D8B51AD}"/>
  <sortState xmlns:xlrd2="http://schemas.microsoft.com/office/spreadsheetml/2017/richdata2" ref="B3:AM23">
    <sortCondition descending="1" ref="AK2:AK23"/>
  </sortState>
  <tableColumns count="38">
    <tableColumn id="1" xr3:uid="{E291BD09-2E5E-439C-AA42-0618B824C6BB}" name="TRUCK NO" dataDxfId="482"/>
    <tableColumn id="2" xr3:uid="{A012177D-BC26-4E81-BA3E-8A23DDAFBFA6}" name="DRIVER NAME" dataDxfId="481"/>
    <tableColumn id="3" xr3:uid="{EE0E1AEA-B129-4309-A678-39A42EBA5667}" name="3/1/2024" dataDxfId="480"/>
    <tableColumn id="4" xr3:uid="{DC4F80FC-E8DC-427D-98BB-DAA6B27155E6}" name="3/2/2024" dataDxfId="479"/>
    <tableColumn id="5" xr3:uid="{37F25C61-EADA-44DD-BC69-ABD6A64DB3AC}" name="3/3/2024" dataDxfId="478"/>
    <tableColumn id="6" xr3:uid="{7683F23A-1872-4915-AD26-43FDFA540EE9}" name="3/4/2024" dataDxfId="477"/>
    <tableColumn id="7" xr3:uid="{50E2908B-D506-4F1D-9945-9321B2B1E8B4}" name="3/5/2024" dataDxfId="476"/>
    <tableColumn id="8" xr3:uid="{0D712422-3A6D-49BD-B3F7-062C47BF70AC}" name="3/6/2024" dataDxfId="475"/>
    <tableColumn id="9" xr3:uid="{AD4D548C-4F45-4C46-A711-D6C483FBE882}" name="3/7/2024" dataDxfId="474"/>
    <tableColumn id="10" xr3:uid="{C5701699-7FDB-4418-8F81-77F6429F31CE}" name="3/8/2024" dataDxfId="473"/>
    <tableColumn id="11" xr3:uid="{11656EE2-9EEC-46B1-8C3F-978F0865882B}" name="3/9/2024" dataDxfId="472"/>
    <tableColumn id="12" xr3:uid="{49D45D65-657E-44A4-83D1-85B08053C946}" name="3/10/2024" dataDxfId="471"/>
    <tableColumn id="13" xr3:uid="{23819F3D-0A38-4B6B-BC32-13177226F5F9}" name="3/11/2024" dataDxfId="470"/>
    <tableColumn id="14" xr3:uid="{81528892-D072-40A4-B461-3C3566B0612D}" name="3/12/2024" dataDxfId="469"/>
    <tableColumn id="15" xr3:uid="{3A008803-A9E5-4704-950D-23B4497E784D}" name="3/13/2024" dataDxfId="468"/>
    <tableColumn id="16" xr3:uid="{64609161-2574-4373-BC0E-9A467AE3512B}" name="3/14/2024" dataDxfId="467"/>
    <tableColumn id="17" xr3:uid="{0EFB8AA6-FF9E-4B24-9D31-696855C467A8}" name="3/15/2024" dataDxfId="466"/>
    <tableColumn id="18" xr3:uid="{ABF7545D-219F-41D8-AC14-C038B7CB59F4}" name="3/16/2024" dataDxfId="465"/>
    <tableColumn id="19" xr3:uid="{874B8A56-16EB-45EE-BBB6-8A4A70DEEC16}" name="3/17/2024" dataDxfId="464"/>
    <tableColumn id="20" xr3:uid="{10C960FD-CABD-49C9-BC52-C4A3C64E1F65}" name="3/18/2024" dataDxfId="463"/>
    <tableColumn id="21" xr3:uid="{6C2381E9-9D66-489A-90E5-6D547D653DE5}" name="3/19/2024" dataDxfId="462"/>
    <tableColumn id="22" xr3:uid="{2DFB60BA-7563-416B-A75F-E7319047F1D5}" name="3/20/2024" dataDxfId="461"/>
    <tableColumn id="23" xr3:uid="{4AA4DB74-FEE5-4D78-9D71-6532CEC33754}" name="3/21/2024" dataDxfId="460"/>
    <tableColumn id="24" xr3:uid="{59932AC4-3089-4DF6-9EB8-428A23A8B4DB}" name="3/22/2024" dataDxfId="459"/>
    <tableColumn id="25" xr3:uid="{12508EE2-D9B5-4A23-AEDF-C64703719001}" name="3/23/2024" dataDxfId="458"/>
    <tableColumn id="26" xr3:uid="{800EB08F-2766-4459-88B6-D64D40A8C7B9}" name="3/24/2024" dataDxfId="457"/>
    <tableColumn id="27" xr3:uid="{5058D905-3809-4C70-A51C-D3570E155348}" name="3/25/2024" dataDxfId="456"/>
    <tableColumn id="28" xr3:uid="{686AE615-AC15-4FFC-AF06-714B319BFA55}" name="3/26/2024" dataDxfId="455"/>
    <tableColumn id="29" xr3:uid="{352585A6-D5B4-40AA-B51E-3300AFD7A064}" name="3/27/2024" dataDxfId="454"/>
    <tableColumn id="30" xr3:uid="{D3B28913-3866-438D-A657-A33082CCF5AE}" name="3/28/2024" dataDxfId="453"/>
    <tableColumn id="31" xr3:uid="{4369DC03-3A0B-4BF0-8FA1-48B3D13C9937}" name="3/29/2024" dataDxfId="452"/>
    <tableColumn id="32" xr3:uid="{4A488FB8-AF5A-4381-8164-37FF7C491871}" name="3/30/2024" dataDxfId="451"/>
    <tableColumn id="33" xr3:uid="{81820DE4-7B3D-4433-9983-9781652F6F31}" name="3/31/2024" dataDxfId="450"/>
    <tableColumn id="34" xr3:uid="{0871EED8-5D7C-4F5C-9E50-24A6CCF742FE}" name="AVERAGE MILES" dataDxfId="449">
      <calculatedColumnFormula>AVERAGE(D3:AG3)</calculatedColumnFormula>
    </tableColumn>
    <tableColumn id="35" xr3:uid="{78493643-CDCE-4396-8D2A-673D78A5BDCB}" name="MTD MILEAGE PLAN" dataDxfId="448"/>
    <tableColumn id="36" xr3:uid="{C60DD9F8-3827-49DD-AAA4-7AA1C55C1ADA}" name=" TOTAL MILEAGE COVERED (MTD)" dataDxfId="447">
      <calculatedColumnFormula>SUM(D3:AH3)</calculatedColumnFormula>
    </tableColumn>
    <tableColumn id="37" xr3:uid="{F2CC66F4-C8F0-4A69-BC8D-74575F3F7D05}" name="MTD MILE PERF%" dataDxfId="446">
      <calculatedColumnFormula>AK3/AJ3</calculatedColumnFormula>
    </tableColumn>
    <tableColumn id="38" xr3:uid="{1F681545-69BD-4DAB-84B4-F8CBABE26051}" name="MILEAGE DIFFERENCE (MTD)" dataDxfId="445">
      <calculatedColumnFormula>AJ3-AK3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B5314-5630-4410-99CA-191D1A28B357}" name="Table352" displayName="Table352" ref="B2:AM23" totalsRowShown="0" tableBorderDxfId="444">
  <sortState xmlns:xlrd2="http://schemas.microsoft.com/office/spreadsheetml/2017/richdata2" ref="B3:AM22">
    <sortCondition ref="B2:B22"/>
  </sortState>
  <tableColumns count="38">
    <tableColumn id="1" xr3:uid="{6CF2BB69-CAF0-4694-A64A-BF20783AA60B}" name="TRUCK NO" dataDxfId="443"/>
    <tableColumn id="2" xr3:uid="{34E94078-EB35-4FB5-9447-D592057FD9D8}" name="DRIVER NAME" dataDxfId="442"/>
    <tableColumn id="3" xr3:uid="{F8418414-A385-4143-9656-66882BB44F65}" name="3/1/2024" dataDxfId="441"/>
    <tableColumn id="4" xr3:uid="{618E2753-5A30-4F9F-9870-B5FE7F5C4FF9}" name="3/2/2024" dataDxfId="440"/>
    <tableColumn id="5" xr3:uid="{033B6DB7-2095-4DDA-931D-DF0028F23C34}" name="3/3/2024" dataDxfId="439"/>
    <tableColumn id="6" xr3:uid="{47599469-1AD6-4C5E-8DC3-7FC35DAC3332}" name="3/4/2024" dataDxfId="438"/>
    <tableColumn id="7" xr3:uid="{00DB2C58-3699-4C10-A86A-0B01020235D0}" name="3/5/2024" dataDxfId="437"/>
    <tableColumn id="8" xr3:uid="{21AEAC69-1324-4DC3-A6C7-9CBBC9617E40}" name="3/6/2024" dataDxfId="436"/>
    <tableColumn id="9" xr3:uid="{FE661845-6C10-440A-ACED-445856317856}" name="3/7/2024" dataDxfId="435"/>
    <tableColumn id="10" xr3:uid="{9057C592-4E8F-4CD4-9B18-3417156F040A}" name="3/8/2024" dataDxfId="434"/>
    <tableColumn id="11" xr3:uid="{BCA910B0-BA0A-486C-AECB-8500C33FCD3C}" name="3/9/2024" dataDxfId="433"/>
    <tableColumn id="12" xr3:uid="{149C0089-1636-4DF9-8830-8CA1B5C36555}" name="3/10/2024" dataDxfId="432"/>
    <tableColumn id="13" xr3:uid="{33265C4C-0F29-4ACC-9FAC-27DB3D5FB034}" name="3/11/2024" dataDxfId="431"/>
    <tableColumn id="14" xr3:uid="{046821CB-D882-48C3-AC7B-38893169A516}" name="3/12/2024" dataDxfId="430"/>
    <tableColumn id="15" xr3:uid="{50BA8B04-BEDE-41F7-8183-F91DEA934CCD}" name="3/13/2024" dataDxfId="429"/>
    <tableColumn id="16" xr3:uid="{A22151EB-F8F9-489E-AEBC-3457E9949559}" name="3/14/2024" dataDxfId="428"/>
    <tableColumn id="17" xr3:uid="{D3518DFF-A0A8-4902-87B3-D3938A552EFD}" name="3/15/2024" dataDxfId="427"/>
    <tableColumn id="18" xr3:uid="{4937FA0E-AAAA-4A56-95A0-53D8A0EA74E5}" name="3/16/2024" dataDxfId="426"/>
    <tableColumn id="19" xr3:uid="{B8E3465E-617B-4EBE-8944-83983894F5B5}" name="3/17/2024" dataDxfId="425"/>
    <tableColumn id="20" xr3:uid="{EBBFC7F6-7A80-4FE5-A068-6DF14712D444}" name="3/18/2024" dataDxfId="424"/>
    <tableColumn id="21" xr3:uid="{B7D7BB6E-EB3D-4F4D-A90A-0FB3E7AC4B20}" name="3/19/2024" dataDxfId="423"/>
    <tableColumn id="22" xr3:uid="{E5A07F00-268B-4E3A-9EA4-9A6259FCD15E}" name="3/20/2024" dataDxfId="422"/>
    <tableColumn id="23" xr3:uid="{8E456BA1-7F32-44B1-B46B-3CBBF022C594}" name="3/21/2024" dataDxfId="421"/>
    <tableColumn id="24" xr3:uid="{0188D5E0-131D-41C6-BC98-E8B3A4FDA47B}" name="3/22/2024" dataDxfId="420"/>
    <tableColumn id="25" xr3:uid="{794FD80D-9068-43D0-9A33-80BE5FA09048}" name="3/23/2024" dataDxfId="419"/>
    <tableColumn id="26" xr3:uid="{1B057EDD-5BEB-4BCF-BEC8-D71E5CA07860}" name="3/24/2024" dataDxfId="418"/>
    <tableColumn id="27" xr3:uid="{0E195EFB-11C3-4453-972F-9273A6E65839}" name="3/25/2024" dataDxfId="417"/>
    <tableColumn id="28" xr3:uid="{07752B9D-E4F5-41BE-BE94-F420C4183C1B}" name="3/26/2024" dataDxfId="416"/>
    <tableColumn id="29" xr3:uid="{07E5FB0E-83EB-4519-B44A-131C0EBAFDD7}" name="3/27/2024" dataDxfId="415"/>
    <tableColumn id="30" xr3:uid="{8E2AF7B7-894E-482D-9D86-0EA1A5BCA78A}" name="3/28/2024" dataDxfId="414"/>
    <tableColumn id="31" xr3:uid="{725D526D-76E7-49C8-A014-98C7A63C204E}" name="3/29/2024" dataDxfId="413"/>
    <tableColumn id="32" xr3:uid="{DD303727-9A1B-4273-A30D-F58F8507AEF9}" name="3/30/2024" dataDxfId="412"/>
    <tableColumn id="33" xr3:uid="{8B47D10C-3CE9-4909-88A6-9E1BBCD99445}" name="3/31/2024" dataDxfId="411"/>
    <tableColumn id="34" xr3:uid="{A518FD64-12FD-4C9B-8F6C-8B3FE743B43B}" name="AVERAGE MILES" dataDxfId="410">
      <calculatedColumnFormula>AVERAGE(D3:AG3)</calculatedColumnFormula>
    </tableColumn>
    <tableColumn id="35" xr3:uid="{7D7840B2-E63F-4E90-A54E-12A5790E2260}" name="MTD MILEAGE PLAN" dataDxfId="409"/>
    <tableColumn id="36" xr3:uid="{3B0E3E1A-1558-4403-8D2C-CF3B6AD2D5A8}" name=" TOTAL MILEAGE COVERED (MTD)" dataDxfId="408">
      <calculatedColumnFormula>SUM(D3:AH3)</calculatedColumnFormula>
    </tableColumn>
    <tableColumn id="37" xr3:uid="{16FEE137-61B2-4063-89AB-91777244FE55}" name="MTD MILE PERF%" dataDxfId="407">
      <calculatedColumnFormula>AK3/AJ3</calculatedColumnFormula>
    </tableColumn>
    <tableColumn id="38" xr3:uid="{04CDDC95-10E9-4025-B7E2-28D68E33A9F2}" name="MILEAGE DIFFERENCE (MTD)" dataDxfId="406">
      <calculatedColumnFormula>AJ3-AK3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F1E66C-426C-46C1-8D4D-BE876EF76FB8}" name="Table35" displayName="Table35" ref="B2:AM23" totalsRowShown="0" headerRowDxfId="405" tableBorderDxfId="404">
  <autoFilter ref="B2:AM23" xr:uid="{ADF1E66C-426C-46C1-8D4D-BE876EF76FB8}"/>
  <sortState xmlns:xlrd2="http://schemas.microsoft.com/office/spreadsheetml/2017/richdata2" ref="B3:AM23">
    <sortCondition descending="1" ref="AK2:AK23"/>
  </sortState>
  <tableColumns count="38">
    <tableColumn id="1" xr3:uid="{3353505F-488A-4CC0-8CDA-DCA1CDF26F34}" name="TRUCK NO" dataDxfId="403"/>
    <tableColumn id="2" xr3:uid="{891AFD6E-629A-453C-9C52-4654AE262ADB}" name="DRIVER NAME" dataDxfId="402"/>
    <tableColumn id="3" xr3:uid="{9B13E5C2-31D6-4056-88EE-DC36EF61D027}" name="2/1/2024" dataDxfId="401"/>
    <tableColumn id="4" xr3:uid="{3B9E68B7-75AD-4C6D-9441-29567D1D377D}" name="2/2/2024" dataDxfId="400"/>
    <tableColumn id="5" xr3:uid="{385E4685-4351-4C7F-8743-A215D0B4D015}" name="2/3/2024" dataDxfId="399"/>
    <tableColumn id="6" xr3:uid="{68A9C438-E512-4A0F-B715-E762A89DC45B}" name="2/4/2024" dataDxfId="398"/>
    <tableColumn id="7" xr3:uid="{8527CB29-7581-4A79-AFA7-AA8C0AB36BDE}" name="2/5/2024" dataDxfId="397"/>
    <tableColumn id="8" xr3:uid="{6228EEB8-6504-4117-A653-EE4D559E2368}" name="2/6/2024" dataDxfId="396"/>
    <tableColumn id="9" xr3:uid="{97D9BCE5-41BB-4B65-A636-D16F63DBCA07}" name="2/7/2024" dataDxfId="395"/>
    <tableColumn id="10" xr3:uid="{54444D0A-F71C-422C-B82B-5B0B05A2E9E4}" name="2/8/2024" dataDxfId="394"/>
    <tableColumn id="11" xr3:uid="{DF930E1B-14C4-4FBF-84DB-91C7E4A14FC8}" name="2/9/2024" dataDxfId="393"/>
    <tableColumn id="12" xr3:uid="{EF33D415-D842-42CC-84EE-500B0CE1DAF9}" name="2/10/2024" dataDxfId="392"/>
    <tableColumn id="13" xr3:uid="{15331461-78F3-4782-9F3E-969A8911FC25}" name="2/11/2024" dataDxfId="391"/>
    <tableColumn id="14" xr3:uid="{ED29989F-6B79-4344-810A-1069BE07306E}" name="2/12/2024" dataDxfId="390"/>
    <tableColumn id="15" xr3:uid="{06EF660F-0D6F-4CC6-B8E1-F307B66B6B1B}" name="2/13/2024" dataDxfId="389"/>
    <tableColumn id="16" xr3:uid="{453F6165-D7F7-433A-9432-7C43968D1363}" name="2/14/2024" dataDxfId="388"/>
    <tableColumn id="17" xr3:uid="{56B80B2B-5962-467D-97FF-2B107323CACC}" name="2/15/2024" dataDxfId="387"/>
    <tableColumn id="18" xr3:uid="{BC7F982F-6F8C-4D81-8B7E-B1A3AB4EA448}" name="2/16/2024" dataDxfId="386"/>
    <tableColumn id="19" xr3:uid="{70B349B1-A7CD-4AB6-B088-CF614EFFBDA7}" name="2/17/2024" dataDxfId="385"/>
    <tableColumn id="20" xr3:uid="{64680CB8-0AEB-4C2B-B29B-FF55AA302986}" name="2/18/2024" dataDxfId="384"/>
    <tableColumn id="21" xr3:uid="{19B749F4-8B6B-46A4-9877-62D540573285}" name="2/19/2024" dataDxfId="383"/>
    <tableColumn id="22" xr3:uid="{436673ED-C22F-4977-9097-F532A8DD38FD}" name="2/20/2024" dataDxfId="382"/>
    <tableColumn id="23" xr3:uid="{6148537B-2A64-44BF-AD60-A7BFB8FE694C}" name="2/21/2024" dataDxfId="381"/>
    <tableColumn id="24" xr3:uid="{5A97C50B-AFC8-450C-A07B-4E8423F0E41B}" name="2/22/2024" dataDxfId="380"/>
    <tableColumn id="25" xr3:uid="{A51AC47E-6DDD-409D-9CC6-BE5AE2D081DC}" name="2/23/2024" dataDxfId="379"/>
    <tableColumn id="26" xr3:uid="{613C5D20-F2DC-4693-80E3-22BF84167C98}" name="2/24/2024" dataDxfId="378"/>
    <tableColumn id="27" xr3:uid="{1A521517-ABAE-459D-88D4-59D2B9B2CA05}" name="2/25/2024" dataDxfId="377"/>
    <tableColumn id="28" xr3:uid="{563E871A-FDB7-4FB4-8116-5ACD0E7E9D55}" name="2/26/2024" dataDxfId="376"/>
    <tableColumn id="29" xr3:uid="{1905BD37-0AD1-48B8-BA90-D1964D0FE6E8}" name="2/27/2024" dataDxfId="375"/>
    <tableColumn id="30" xr3:uid="{21CF8180-3118-431D-B01C-79B9077B8FE7}" name="2/28/2024" dataDxfId="374"/>
    <tableColumn id="31" xr3:uid="{9D93C199-8B49-443A-92ED-772F8226DD3D}" name="2/29/2024" dataDxfId="373"/>
    <tableColumn id="32" xr3:uid="{A41E7C83-7EED-41C8-AB32-44AAE356083D}" name="1/30/2024" dataDxfId="372"/>
    <tableColumn id="33" xr3:uid="{E6635A96-D303-45B1-8525-71303BF9651E}" name="1/31/2024" dataDxfId="371"/>
    <tableColumn id="34" xr3:uid="{9C74F005-C15A-4F79-8F5A-8FC1B479030F}" name="AVERAGE MILES" dataDxfId="370">
      <calculatedColumnFormula>AVERAGE(D3:AG3)</calculatedColumnFormula>
    </tableColumn>
    <tableColumn id="35" xr3:uid="{B253DEE8-3326-4780-842A-7677FCBBF99E}" name="MTD MILEAGE PLAN" dataDxfId="369"/>
    <tableColumn id="36" xr3:uid="{5E841CD6-778D-4B43-8DC9-5C9A82A99051}" name=" TOTAL MILEAGE COVERED (MTD)" dataDxfId="368">
      <calculatedColumnFormula>SUM(D3:AG3)</calculatedColumnFormula>
    </tableColumn>
    <tableColumn id="37" xr3:uid="{A3269EB2-C6C2-48E4-8137-D790736B36FB}" name="MTD MILE PERF%" dataDxfId="367">
      <calculatedColumnFormula>AK3/AJ3</calculatedColumnFormula>
    </tableColumn>
    <tableColumn id="38" xr3:uid="{3969B6D6-1F2C-4D9C-B4BC-5C6943487565}" name="MILEAGE DIFFERENCE (MTD)" dataDxfId="366">
      <calculatedColumnFormula>AJ3-AK3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4134C6-7B41-4C35-A84F-E1E23DAD8EE5}" name="Table3" displayName="Table3" ref="B2:AM23" totalsRowShown="0" tableBorderDxfId="365">
  <autoFilter ref="B2:AM23" xr:uid="{314134C6-7B41-4C35-A84F-E1E23DAD8EE5}"/>
  <sortState xmlns:xlrd2="http://schemas.microsoft.com/office/spreadsheetml/2017/richdata2" ref="B3:AM23">
    <sortCondition descending="1" ref="AL2:AL23"/>
  </sortState>
  <tableColumns count="38">
    <tableColumn id="1" xr3:uid="{0B35B13A-83C9-43A3-9303-8578F1DA1481}" name="TRUCK NO" dataDxfId="364"/>
    <tableColumn id="2" xr3:uid="{5F76DDB1-2CE3-4ADA-8E6A-BDEFBAE9CE9B}" name="DRIVER NAME" dataDxfId="363"/>
    <tableColumn id="3" xr3:uid="{692897E3-7553-49B8-9F5B-87384B5F4A40}" name="1/1/2024" dataDxfId="362"/>
    <tableColumn id="4" xr3:uid="{DEA9C3CE-DCB6-4D9A-AF64-6F80CBA6D4CF}" name="1/2/2024" dataDxfId="361"/>
    <tableColumn id="5" xr3:uid="{FB98D710-B1DD-4AF1-9685-08B9699E6DF5}" name="1/3/2024" dataDxfId="360"/>
    <tableColumn id="6" xr3:uid="{EDEAF442-33A7-4225-917B-C6C73574060F}" name="1/4/2024" dataDxfId="359"/>
    <tableColumn id="7" xr3:uid="{02CF50B7-D103-45F7-921B-D281D285874F}" name="1/5/2024" dataDxfId="358"/>
    <tableColumn id="8" xr3:uid="{F7C6144C-5FA6-4EF2-A3EF-CBE5310D8E12}" name="1/6/2024" dataDxfId="357"/>
    <tableColumn id="9" xr3:uid="{B6202708-63B3-4311-9146-A96DFE069D52}" name="1/7/2024" dataDxfId="356"/>
    <tableColumn id="10" xr3:uid="{11886193-EF73-4A81-B12F-724E9A590752}" name="1/8/2024" dataDxfId="355"/>
    <tableColumn id="11" xr3:uid="{6224F293-99FD-4A92-8935-926BE62037DA}" name="1/9/2024" dataDxfId="354"/>
    <tableColumn id="12" xr3:uid="{6EA70220-D02D-42E4-9943-92BC0445D472}" name="1/10/2024" dataDxfId="353"/>
    <tableColumn id="13" xr3:uid="{3AED1BAE-EE18-48DE-90C3-48F5EF4EEDA1}" name="1/11/2024" dataDxfId="352"/>
    <tableColumn id="14" xr3:uid="{5F90490C-71AE-4047-AC3F-8D9B856D2277}" name="1/12/2024" dataDxfId="351"/>
    <tableColumn id="15" xr3:uid="{CF799347-9638-441F-923A-3424E9280AD9}" name="1/13/2024" dataDxfId="350"/>
    <tableColumn id="16" xr3:uid="{8F585110-7E43-4022-BCA6-701BA2CF9263}" name="1/14/2024" dataDxfId="349"/>
    <tableColumn id="17" xr3:uid="{B171A846-9573-41DA-83C3-31C7EE7D2234}" name="1/15/2024" dataDxfId="348"/>
    <tableColumn id="18" xr3:uid="{017CC071-6F1D-4610-8227-657910119C29}" name="1/16/2024" dataDxfId="347"/>
    <tableColumn id="19" xr3:uid="{C43729C6-CBD9-4E30-AFD1-2A3CA5208B7F}" name="1/17/2024" dataDxfId="346"/>
    <tableColumn id="20" xr3:uid="{2F1146B1-DCA0-4EFB-8A83-53CE3D61FF80}" name="1/18/2024" dataDxfId="345"/>
    <tableColumn id="21" xr3:uid="{F894C67B-ECC0-499D-9ADC-E40B16A72EDD}" name="1/19/2024" dataDxfId="344"/>
    <tableColumn id="22" xr3:uid="{B9914261-20B1-4C76-B572-C1A6D5C85B77}" name="1/20/2024" dataDxfId="343"/>
    <tableColumn id="23" xr3:uid="{BFF4BF4A-E751-4F85-9933-EEB14493B897}" name="1/21/2024" dataDxfId="342"/>
    <tableColumn id="24" xr3:uid="{EC35DD7F-2DF9-4E5E-A1A0-12F10260B0B9}" name="1/22/2024" dataDxfId="341"/>
    <tableColumn id="25" xr3:uid="{3721368F-8C3B-49B9-8CEF-5E4BBD9D781B}" name="1/23/2024" dataDxfId="340"/>
    <tableColumn id="26" xr3:uid="{AF354B2B-2126-413F-9FD3-E494E5BC3B7E}" name="1/24/2024" dataDxfId="339"/>
    <tableColumn id="27" xr3:uid="{D03B554B-73CB-4853-982D-72296F40EDF0}" name="1/25/2024" dataDxfId="338"/>
    <tableColumn id="28" xr3:uid="{6B114BEF-440B-4CDF-BCF8-EFBBCA13000E}" name="1/26/2024" dataDxfId="337"/>
    <tableColumn id="29" xr3:uid="{7889442E-320F-4C97-ACD6-DC8DEAD85B0E}" name="1/27/2024" dataDxfId="336"/>
    <tableColumn id="30" xr3:uid="{5EB27CC5-E69F-4DB6-94D8-0CD933C6970C}" name="1/28/2024" dataDxfId="335"/>
    <tableColumn id="31" xr3:uid="{672D4694-042D-4D0D-828D-05C283508163}" name="1/29/2024" dataDxfId="334"/>
    <tableColumn id="32" xr3:uid="{1442344F-3633-42D7-A2E2-6772C7CD215C}" name="1/30/2024" dataDxfId="333"/>
    <tableColumn id="33" xr3:uid="{EA77ECFF-4FE1-4760-8F3A-19B21C376916}" name="1/31/2024" dataDxfId="332"/>
    <tableColumn id="34" xr3:uid="{84144B43-9994-4EAE-854E-425944DC6473}" name="AVERAGE MILES" dataDxfId="331">
      <calculatedColumnFormula>AVERAGE(D3:AG3)</calculatedColumnFormula>
    </tableColumn>
    <tableColumn id="35" xr3:uid="{C13FA19A-8039-4754-A178-CDFBD9800DDA}" name="MTD MILEAGE PLAN" dataDxfId="330"/>
    <tableColumn id="36" xr3:uid="{58CEEA43-CF26-4DEF-99DF-9926192023E8}" name=" TOTAL MILEAGE COVERED (MTD)" dataDxfId="329">
      <calculatedColumnFormula>SUM(D3:AH3)</calculatedColumnFormula>
    </tableColumn>
    <tableColumn id="37" xr3:uid="{36E97044-D346-4057-B39B-7DFABE104755}" name="MTD MILE PERF%" dataDxfId="328">
      <calculatedColumnFormula>AK3/AJ3</calculatedColumnFormula>
    </tableColumn>
    <tableColumn id="38" xr3:uid="{E3A40C82-06EB-460D-976D-9A1BA3CB0266}" name="MILEAGE DIFFERENCE (MTD)" dataDxfId="327">
      <calculatedColumnFormula>AJ3-AK3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1077-D6F8-4A37-B17C-27D2A9B25F44}">
  <dimension ref="A1:AF28"/>
  <sheetViews>
    <sheetView topLeftCell="B1" zoomScale="68" zoomScaleNormal="68" workbookViewId="0">
      <pane xSplit="1" ySplit="2" topLeftCell="C3" activePane="bottomRight" state="frozen"/>
      <selection activeCell="B1" sqref="B1"/>
      <selection pane="topRight" activeCell="C1" sqref="C1"/>
      <selection pane="bottomLeft" activeCell="B3" sqref="B3"/>
      <selection pane="bottomRight" activeCell="Y8" sqref="Y8:Y23"/>
    </sheetView>
  </sheetViews>
  <sheetFormatPr defaultRowHeight="14.5"/>
  <cols>
    <col min="1" max="1" width="5.81640625" bestFit="1" customWidth="1"/>
    <col min="2" max="2" width="20.81640625" bestFit="1" customWidth="1"/>
    <col min="3" max="3" width="44.26953125" bestFit="1" customWidth="1"/>
    <col min="4" max="4" width="39.7265625" bestFit="1" customWidth="1"/>
    <col min="5" max="5" width="21.36328125" bestFit="1" customWidth="1"/>
    <col min="6" max="6" width="37.7265625" bestFit="1" customWidth="1"/>
    <col min="7" max="7" width="42.36328125" bestFit="1" customWidth="1"/>
    <col min="8" max="8" width="42.36328125" customWidth="1"/>
    <col min="9" max="9" width="34.1796875" bestFit="1" customWidth="1"/>
    <col min="10" max="10" width="51.08984375" customWidth="1"/>
    <col min="11" max="11" width="15.36328125" customWidth="1"/>
    <col min="12" max="12" width="16.7265625" hidden="1" customWidth="1"/>
    <col min="13" max="13" width="23.36328125" bestFit="1" customWidth="1"/>
    <col min="14" max="14" width="21.36328125" bestFit="1" customWidth="1"/>
    <col min="15" max="15" width="22" bestFit="1" customWidth="1"/>
    <col min="16" max="16" width="18.26953125" customWidth="1"/>
    <col min="17" max="17" width="17.81640625" customWidth="1"/>
    <col min="18" max="18" width="26.26953125" bestFit="1" customWidth="1"/>
    <col min="19" max="20" width="14.81640625" bestFit="1" customWidth="1"/>
    <col min="21" max="22" width="16" bestFit="1" customWidth="1"/>
    <col min="23" max="23" width="30.36328125" bestFit="1" customWidth="1"/>
    <col min="24" max="24" width="36.7265625" bestFit="1" customWidth="1"/>
    <col min="25" max="25" width="36" bestFit="1" customWidth="1"/>
    <col min="26" max="26" width="24" bestFit="1" customWidth="1"/>
    <col min="27" max="27" width="29.81640625" bestFit="1" customWidth="1"/>
    <col min="28" max="28" width="25.6328125" bestFit="1" customWidth="1"/>
    <col min="29" max="29" width="36.26953125" customWidth="1"/>
    <col min="30" max="31" width="36" bestFit="1" customWidth="1"/>
    <col min="32" max="32" width="36" hidden="1" customWidth="1"/>
  </cols>
  <sheetData>
    <row r="1" spans="1:32" ht="38.25" customHeight="1">
      <c r="A1" s="345" t="s">
        <v>318</v>
      </c>
      <c r="B1" s="346"/>
      <c r="C1" s="346"/>
      <c r="D1" s="346"/>
      <c r="E1" s="347"/>
      <c r="F1" s="350" t="s">
        <v>0</v>
      </c>
      <c r="G1" s="351"/>
      <c r="H1" s="351"/>
      <c r="I1" s="351"/>
      <c r="J1" s="351"/>
      <c r="K1" s="351"/>
      <c r="L1" s="351"/>
      <c r="M1" s="351"/>
      <c r="N1" s="351"/>
      <c r="O1" s="352"/>
      <c r="P1" s="348" t="s">
        <v>1</v>
      </c>
      <c r="Q1" s="348"/>
      <c r="R1" s="348"/>
      <c r="S1" s="348"/>
      <c r="T1" s="348"/>
      <c r="U1" s="348"/>
      <c r="V1" s="348"/>
      <c r="W1" s="349" t="s">
        <v>2</v>
      </c>
      <c r="X1" s="349"/>
      <c r="Y1" s="349"/>
      <c r="Z1" s="349"/>
      <c r="AA1" s="343" t="s">
        <v>320</v>
      </c>
      <c r="AB1" s="344"/>
      <c r="AC1" s="344"/>
      <c r="AD1" s="344"/>
      <c r="AE1" s="344"/>
      <c r="AF1" s="344"/>
    </row>
    <row r="2" spans="1:32" s="71" customFormat="1" ht="60">
      <c r="A2" s="59" t="s">
        <v>3</v>
      </c>
      <c r="B2" s="60" t="s">
        <v>4</v>
      </c>
      <c r="C2" s="61" t="s">
        <v>5</v>
      </c>
      <c r="D2" s="62" t="s">
        <v>6</v>
      </c>
      <c r="E2" s="63" t="s">
        <v>7</v>
      </c>
      <c r="F2" s="59" t="s">
        <v>8</v>
      </c>
      <c r="G2" s="61" t="s">
        <v>9</v>
      </c>
      <c r="H2" s="61" t="s">
        <v>11</v>
      </c>
      <c r="I2" s="61" t="s">
        <v>10</v>
      </c>
      <c r="J2" s="61" t="s">
        <v>316</v>
      </c>
      <c r="K2" s="64" t="s">
        <v>12</v>
      </c>
      <c r="L2" s="65"/>
      <c r="M2" s="66" t="s">
        <v>13</v>
      </c>
      <c r="N2" s="66" t="s">
        <v>14</v>
      </c>
      <c r="O2" s="67" t="s">
        <v>69</v>
      </c>
      <c r="P2" s="68" t="s">
        <v>15</v>
      </c>
      <c r="Q2" s="69" t="s">
        <v>16</v>
      </c>
      <c r="R2" s="61" t="s">
        <v>17</v>
      </c>
      <c r="S2" s="69" t="s">
        <v>18</v>
      </c>
      <c r="T2" s="69" t="s">
        <v>19</v>
      </c>
      <c r="U2" s="70" t="s">
        <v>20</v>
      </c>
      <c r="V2" s="90" t="s">
        <v>21</v>
      </c>
      <c r="W2" s="92" t="s">
        <v>22</v>
      </c>
      <c r="X2" s="92" t="s">
        <v>23</v>
      </c>
      <c r="Y2" s="92" t="s">
        <v>24</v>
      </c>
      <c r="Z2" s="93" t="s">
        <v>25</v>
      </c>
      <c r="AA2" s="253" t="s">
        <v>319</v>
      </c>
      <c r="AB2" s="96" t="s">
        <v>127</v>
      </c>
      <c r="AC2" s="96" t="s">
        <v>128</v>
      </c>
      <c r="AD2" s="96" t="s">
        <v>81</v>
      </c>
      <c r="AE2" s="96" t="s">
        <v>80</v>
      </c>
      <c r="AF2" s="96" t="s">
        <v>82</v>
      </c>
    </row>
    <row r="3" spans="1:32" ht="38.25" customHeight="1">
      <c r="A3" s="72">
        <v>1</v>
      </c>
      <c r="B3" s="195" t="s">
        <v>26</v>
      </c>
      <c r="C3" s="223"/>
      <c r="D3" s="196"/>
      <c r="E3" s="197"/>
      <c r="F3" s="1" t="s">
        <v>27</v>
      </c>
      <c r="G3" s="95" t="s">
        <v>28</v>
      </c>
      <c r="H3" s="95"/>
      <c r="I3" s="2" t="s">
        <v>155</v>
      </c>
      <c r="J3" s="225" t="s">
        <v>145</v>
      </c>
      <c r="K3" s="3">
        <f ca="1">TODAY()-L3</f>
        <v>797</v>
      </c>
      <c r="L3" s="4">
        <v>44687</v>
      </c>
      <c r="M3" s="222" t="s">
        <v>29</v>
      </c>
      <c r="N3" s="222" t="s">
        <v>29</v>
      </c>
      <c r="O3" s="222">
        <v>24</v>
      </c>
      <c r="P3" s="5">
        <v>450</v>
      </c>
      <c r="Q3" s="6">
        <v>0</v>
      </c>
      <c r="R3" s="7">
        <f t="shared" ref="R3:R23" si="0">Q3/P3</f>
        <v>0</v>
      </c>
      <c r="S3" s="8">
        <v>4050</v>
      </c>
      <c r="T3" s="9">
        <v>0</v>
      </c>
      <c r="U3" s="10">
        <f t="shared" ref="U3:U23" si="1">T3/S3</f>
        <v>0</v>
      </c>
      <c r="V3" s="91">
        <f t="shared" ref="V3:V23" si="2">S3-T3</f>
        <v>4050</v>
      </c>
      <c r="W3" s="12"/>
      <c r="X3" s="11">
        <v>40000</v>
      </c>
      <c r="Y3" s="12">
        <v>0</v>
      </c>
      <c r="Z3" s="94">
        <f t="shared" ref="Z3:Z23" si="3">Y3/X3</f>
        <v>0</v>
      </c>
      <c r="AA3" s="254">
        <f>SUM(AB3:AM3)</f>
        <v>0</v>
      </c>
      <c r="AB3" s="97">
        <v>0</v>
      </c>
      <c r="AC3" s="97">
        <v>0</v>
      </c>
      <c r="AD3" s="97">
        <v>0</v>
      </c>
      <c r="AE3" s="97">
        <v>0</v>
      </c>
      <c r="AF3" s="97">
        <v>0</v>
      </c>
    </row>
    <row r="4" spans="1:32" ht="38.25" customHeight="1">
      <c r="A4" s="72">
        <v>2</v>
      </c>
      <c r="B4" s="195" t="s">
        <v>30</v>
      </c>
      <c r="C4" s="223"/>
      <c r="D4" s="196"/>
      <c r="E4" s="197"/>
      <c r="F4" s="1" t="s">
        <v>31</v>
      </c>
      <c r="G4" s="95" t="s">
        <v>28</v>
      </c>
      <c r="H4" s="95"/>
      <c r="I4" s="2" t="s">
        <v>155</v>
      </c>
      <c r="J4" s="225" t="s">
        <v>317</v>
      </c>
      <c r="K4" s="3">
        <f ca="1">TODAY()-L4</f>
        <v>678</v>
      </c>
      <c r="L4" s="4">
        <v>44806</v>
      </c>
      <c r="M4" s="222" t="s">
        <v>29</v>
      </c>
      <c r="N4" s="222" t="s">
        <v>29</v>
      </c>
      <c r="O4" s="222">
        <v>24</v>
      </c>
      <c r="P4" s="5">
        <v>450</v>
      </c>
      <c r="Q4" s="6">
        <v>0</v>
      </c>
      <c r="R4" s="7">
        <f t="shared" si="0"/>
        <v>0</v>
      </c>
      <c r="S4" s="8">
        <v>4050</v>
      </c>
      <c r="T4" s="9">
        <v>0</v>
      </c>
      <c r="U4" s="10">
        <f t="shared" si="1"/>
        <v>0</v>
      </c>
      <c r="V4" s="91">
        <f t="shared" si="2"/>
        <v>4050</v>
      </c>
      <c r="W4" s="12"/>
      <c r="X4" s="11">
        <v>40000</v>
      </c>
      <c r="Y4" s="12">
        <v>0</v>
      </c>
      <c r="Z4" s="94">
        <f t="shared" si="3"/>
        <v>0</v>
      </c>
      <c r="AA4" s="254">
        <f t="shared" ref="AA4:AA23" si="4">SUM(AB4:AM4)</f>
        <v>0</v>
      </c>
      <c r="AB4" s="97">
        <v>0</v>
      </c>
      <c r="AC4" s="97">
        <v>0</v>
      </c>
      <c r="AD4" s="97">
        <v>0</v>
      </c>
      <c r="AE4" s="97">
        <v>0</v>
      </c>
      <c r="AF4" s="97">
        <v>0</v>
      </c>
    </row>
    <row r="5" spans="1:32" ht="38.25" customHeight="1">
      <c r="A5" s="72">
        <v>3</v>
      </c>
      <c r="B5" s="195" t="s">
        <v>32</v>
      </c>
      <c r="C5" s="223"/>
      <c r="D5" s="196"/>
      <c r="E5" s="197"/>
      <c r="F5" s="1" t="s">
        <v>27</v>
      </c>
      <c r="G5" s="95" t="s">
        <v>28</v>
      </c>
      <c r="H5" s="95"/>
      <c r="I5" s="2" t="s">
        <v>155</v>
      </c>
      <c r="J5" s="225" t="s">
        <v>146</v>
      </c>
      <c r="K5" s="3">
        <f ca="1">TODAY()-L5</f>
        <v>796</v>
      </c>
      <c r="L5" s="4">
        <v>44688</v>
      </c>
      <c r="M5" s="222" t="s">
        <v>29</v>
      </c>
      <c r="N5" s="222" t="s">
        <v>29</v>
      </c>
      <c r="O5" s="222">
        <v>24</v>
      </c>
      <c r="P5" s="5">
        <v>450</v>
      </c>
      <c r="Q5" s="6">
        <v>0</v>
      </c>
      <c r="R5" s="7">
        <f t="shared" si="0"/>
        <v>0</v>
      </c>
      <c r="S5" s="8">
        <v>4050</v>
      </c>
      <c r="T5" s="9">
        <v>0</v>
      </c>
      <c r="U5" s="10">
        <f t="shared" si="1"/>
        <v>0</v>
      </c>
      <c r="V5" s="91">
        <f t="shared" si="2"/>
        <v>4050</v>
      </c>
      <c r="W5" s="12"/>
      <c r="X5" s="11">
        <v>40000</v>
      </c>
      <c r="Y5" s="12">
        <v>0</v>
      </c>
      <c r="Z5" s="94">
        <f t="shared" si="3"/>
        <v>0</v>
      </c>
      <c r="AA5" s="254">
        <f t="shared" si="4"/>
        <v>0</v>
      </c>
      <c r="AB5" s="97">
        <v>0</v>
      </c>
      <c r="AC5" s="97">
        <v>0</v>
      </c>
      <c r="AD5" s="97">
        <v>0</v>
      </c>
      <c r="AE5" s="97">
        <v>0</v>
      </c>
      <c r="AF5" s="97">
        <v>0</v>
      </c>
    </row>
    <row r="6" spans="1:32" ht="38.25" customHeight="1">
      <c r="A6" s="72">
        <v>4</v>
      </c>
      <c r="B6" s="13" t="s">
        <v>33</v>
      </c>
      <c r="C6" s="223" t="s">
        <v>34</v>
      </c>
      <c r="D6" s="196">
        <v>720579654</v>
      </c>
      <c r="E6" s="197" t="s">
        <v>313</v>
      </c>
      <c r="F6" s="1" t="s">
        <v>413</v>
      </c>
      <c r="G6" s="95" t="s">
        <v>315</v>
      </c>
      <c r="H6" s="95" t="s">
        <v>325</v>
      </c>
      <c r="I6" s="2" t="s">
        <v>155</v>
      </c>
      <c r="J6" s="226" t="s">
        <v>409</v>
      </c>
      <c r="K6" s="3">
        <v>3</v>
      </c>
      <c r="L6" s="4"/>
      <c r="M6" s="222" t="s">
        <v>130</v>
      </c>
      <c r="N6" s="222" t="s">
        <v>130</v>
      </c>
      <c r="O6" s="222" t="s">
        <v>357</v>
      </c>
      <c r="P6" s="5">
        <v>450</v>
      </c>
      <c r="Q6" s="6">
        <v>252</v>
      </c>
      <c r="R6" s="7">
        <f t="shared" si="0"/>
        <v>0.56000000000000005</v>
      </c>
      <c r="S6" s="8">
        <v>4050</v>
      </c>
      <c r="T6" s="9">
        <v>1734</v>
      </c>
      <c r="U6" s="10">
        <f t="shared" si="1"/>
        <v>0.42814814814814817</v>
      </c>
      <c r="V6" s="91">
        <f t="shared" si="2"/>
        <v>2316</v>
      </c>
      <c r="W6" s="12"/>
      <c r="X6" s="11">
        <v>40000</v>
      </c>
      <c r="Y6" s="12">
        <v>0</v>
      </c>
      <c r="Z6" s="94">
        <f t="shared" si="3"/>
        <v>0</v>
      </c>
      <c r="AA6" s="254">
        <f t="shared" si="4"/>
        <v>2088550</v>
      </c>
      <c r="AB6" s="97">
        <v>550000</v>
      </c>
      <c r="AC6" s="97">
        <v>320350</v>
      </c>
      <c r="AD6" s="97">
        <v>418200</v>
      </c>
      <c r="AE6" s="97">
        <v>537600</v>
      </c>
      <c r="AF6" s="97">
        <v>262400</v>
      </c>
    </row>
    <row r="7" spans="1:32" ht="38.25" customHeight="1">
      <c r="A7" s="72">
        <v>5</v>
      </c>
      <c r="B7" s="13" t="s">
        <v>35</v>
      </c>
      <c r="C7" s="223" t="s">
        <v>36</v>
      </c>
      <c r="D7" s="196">
        <v>720451288</v>
      </c>
      <c r="E7" s="197" t="s">
        <v>312</v>
      </c>
      <c r="F7" s="1" t="s">
        <v>414</v>
      </c>
      <c r="G7" s="95" t="s">
        <v>314</v>
      </c>
      <c r="H7" s="95" t="s">
        <v>324</v>
      </c>
      <c r="I7" s="2" t="s">
        <v>156</v>
      </c>
      <c r="J7" s="226"/>
      <c r="K7" s="3"/>
      <c r="L7" s="14"/>
      <c r="M7" s="222" t="s">
        <v>130</v>
      </c>
      <c r="N7" s="222" t="s">
        <v>130</v>
      </c>
      <c r="O7" s="222" t="s">
        <v>358</v>
      </c>
      <c r="P7" s="5">
        <v>450</v>
      </c>
      <c r="Q7" s="6">
        <v>0</v>
      </c>
      <c r="R7" s="7">
        <f t="shared" si="0"/>
        <v>0</v>
      </c>
      <c r="S7" s="8">
        <v>4050</v>
      </c>
      <c r="T7" s="9">
        <v>902</v>
      </c>
      <c r="U7" s="10">
        <f t="shared" si="1"/>
        <v>0.22271604938271605</v>
      </c>
      <c r="V7" s="91">
        <f t="shared" si="2"/>
        <v>3148</v>
      </c>
      <c r="W7" s="12"/>
      <c r="X7" s="11">
        <v>40000</v>
      </c>
      <c r="Y7" s="12">
        <v>0</v>
      </c>
      <c r="Z7" s="94">
        <f t="shared" si="3"/>
        <v>0</v>
      </c>
      <c r="AA7" s="254">
        <f t="shared" si="4"/>
        <v>2505150</v>
      </c>
      <c r="AB7" s="97">
        <v>970800</v>
      </c>
      <c r="AC7" s="97">
        <v>320350</v>
      </c>
      <c r="AD7" s="97">
        <v>418200</v>
      </c>
      <c r="AE7" s="97">
        <v>533400</v>
      </c>
      <c r="AF7" s="97">
        <v>262400</v>
      </c>
    </row>
    <row r="8" spans="1:32" ht="38.25" customHeight="1">
      <c r="A8" s="72">
        <v>6</v>
      </c>
      <c r="B8" s="13" t="s">
        <v>37</v>
      </c>
      <c r="C8" s="223" t="s">
        <v>405</v>
      </c>
      <c r="D8" s="196">
        <v>721125276</v>
      </c>
      <c r="E8" s="197" t="s">
        <v>312</v>
      </c>
      <c r="F8" s="1" t="s">
        <v>415</v>
      </c>
      <c r="G8" s="95" t="s">
        <v>314</v>
      </c>
      <c r="H8" s="95" t="s">
        <v>324</v>
      </c>
      <c r="I8" s="2" t="s">
        <v>156</v>
      </c>
      <c r="J8" s="226"/>
      <c r="K8" s="3"/>
      <c r="L8" s="14"/>
      <c r="M8" s="222">
        <v>0.43819444444444444</v>
      </c>
      <c r="N8" s="222">
        <v>0.92847222222222225</v>
      </c>
      <c r="O8" s="222" t="s">
        <v>359</v>
      </c>
      <c r="P8" s="5">
        <v>450</v>
      </c>
      <c r="Q8" s="6">
        <v>313</v>
      </c>
      <c r="R8" s="7">
        <f t="shared" si="0"/>
        <v>0.69555555555555559</v>
      </c>
      <c r="S8" s="8">
        <v>4050</v>
      </c>
      <c r="T8" s="9">
        <v>1574</v>
      </c>
      <c r="U8" s="10">
        <f t="shared" si="1"/>
        <v>0.38864197530864197</v>
      </c>
      <c r="V8" s="91">
        <f t="shared" si="2"/>
        <v>2476</v>
      </c>
      <c r="W8" s="12"/>
      <c r="X8" s="11">
        <v>40000</v>
      </c>
      <c r="Y8" s="12">
        <v>0</v>
      </c>
      <c r="Z8" s="94">
        <f t="shared" si="3"/>
        <v>0</v>
      </c>
      <c r="AA8" s="254">
        <f t="shared" si="4"/>
        <v>823700</v>
      </c>
      <c r="AB8" s="97">
        <v>0</v>
      </c>
      <c r="AC8" s="97">
        <v>0</v>
      </c>
      <c r="AD8" s="97">
        <v>296700</v>
      </c>
      <c r="AE8" s="97">
        <v>264600</v>
      </c>
      <c r="AF8" s="97">
        <v>262400</v>
      </c>
    </row>
    <row r="9" spans="1:32" ht="38.25" customHeight="1">
      <c r="A9" s="72">
        <v>7</v>
      </c>
      <c r="B9" s="13" t="s">
        <v>38</v>
      </c>
      <c r="C9" s="223" t="s">
        <v>39</v>
      </c>
      <c r="D9" s="196">
        <v>725308998</v>
      </c>
      <c r="E9" s="197" t="s">
        <v>312</v>
      </c>
      <c r="F9" s="1" t="s">
        <v>406</v>
      </c>
      <c r="G9" s="95" t="s">
        <v>314</v>
      </c>
      <c r="H9" s="95" t="s">
        <v>407</v>
      </c>
      <c r="I9" s="2" t="s">
        <v>155</v>
      </c>
      <c r="J9" s="226" t="s">
        <v>408</v>
      </c>
      <c r="K9" s="3"/>
      <c r="L9" s="4"/>
      <c r="M9" s="222" t="s">
        <v>130</v>
      </c>
      <c r="N9" s="222" t="s">
        <v>130</v>
      </c>
      <c r="O9" s="222" t="s">
        <v>360</v>
      </c>
      <c r="P9" s="5">
        <v>450</v>
      </c>
      <c r="Q9" s="6">
        <v>308</v>
      </c>
      <c r="R9" s="7">
        <f t="shared" si="0"/>
        <v>0.68444444444444441</v>
      </c>
      <c r="S9" s="8">
        <v>4050</v>
      </c>
      <c r="T9" s="9">
        <v>1218</v>
      </c>
      <c r="U9" s="10">
        <f t="shared" si="1"/>
        <v>0.30074074074074075</v>
      </c>
      <c r="V9" s="91">
        <f t="shared" si="2"/>
        <v>2832</v>
      </c>
      <c r="W9" s="12"/>
      <c r="X9" s="11">
        <v>70000</v>
      </c>
      <c r="Y9" s="12">
        <v>0</v>
      </c>
      <c r="Z9" s="94">
        <f t="shared" si="3"/>
        <v>0</v>
      </c>
      <c r="AA9" s="254">
        <f t="shared" si="4"/>
        <v>2284846.02</v>
      </c>
      <c r="AB9" s="97">
        <v>421636.06</v>
      </c>
      <c r="AC9" s="97">
        <v>615623.48</v>
      </c>
      <c r="AD9" s="97">
        <v>544986</v>
      </c>
      <c r="AE9" s="97">
        <v>548700.48</v>
      </c>
      <c r="AF9" s="97">
        <v>153900</v>
      </c>
    </row>
    <row r="10" spans="1:32" ht="38.25" customHeight="1">
      <c r="A10" s="72">
        <v>8</v>
      </c>
      <c r="B10" s="13" t="s">
        <v>40</v>
      </c>
      <c r="C10" s="223" t="s">
        <v>160</v>
      </c>
      <c r="D10" s="196">
        <v>100480048</v>
      </c>
      <c r="E10" s="197" t="s">
        <v>312</v>
      </c>
      <c r="F10" s="1" t="s">
        <v>410</v>
      </c>
      <c r="G10" s="95" t="s">
        <v>315</v>
      </c>
      <c r="H10" s="95" t="s">
        <v>325</v>
      </c>
      <c r="I10" s="2" t="s">
        <v>155</v>
      </c>
      <c r="J10" s="226"/>
      <c r="K10" s="3"/>
      <c r="L10" s="4"/>
      <c r="M10" s="222">
        <v>0.32847222222222222</v>
      </c>
      <c r="N10" s="222">
        <v>0.6743055555555556</v>
      </c>
      <c r="O10" s="222" t="s">
        <v>361</v>
      </c>
      <c r="P10" s="5">
        <v>450</v>
      </c>
      <c r="Q10" s="6">
        <v>0</v>
      </c>
      <c r="R10" s="7">
        <f t="shared" si="0"/>
        <v>0</v>
      </c>
      <c r="S10" s="8">
        <v>4050</v>
      </c>
      <c r="T10" s="9">
        <v>1263</v>
      </c>
      <c r="U10" s="10">
        <f t="shared" si="1"/>
        <v>0.31185185185185182</v>
      </c>
      <c r="V10" s="91">
        <f t="shared" si="2"/>
        <v>2787</v>
      </c>
      <c r="W10" s="12"/>
      <c r="X10" s="11">
        <v>70000</v>
      </c>
      <c r="Y10" s="12">
        <v>0</v>
      </c>
      <c r="Z10" s="94">
        <f t="shared" si="3"/>
        <v>0</v>
      </c>
      <c r="AA10" s="254">
        <f t="shared" si="4"/>
        <v>2365508.16</v>
      </c>
      <c r="AB10" s="97">
        <v>420750.58</v>
      </c>
      <c r="AC10" s="97">
        <v>713993.38</v>
      </c>
      <c r="AD10" s="97">
        <v>519541</v>
      </c>
      <c r="AE10" s="97">
        <v>557323.19999999995</v>
      </c>
      <c r="AF10" s="97">
        <v>153900</v>
      </c>
    </row>
    <row r="11" spans="1:32" ht="38.25" customHeight="1">
      <c r="A11" s="72">
        <v>9</v>
      </c>
      <c r="B11" s="13" t="s">
        <v>41</v>
      </c>
      <c r="C11" s="223" t="s">
        <v>374</v>
      </c>
      <c r="D11" s="196">
        <v>746012877</v>
      </c>
      <c r="E11" s="197" t="s">
        <v>312</v>
      </c>
      <c r="F11" s="1" t="s">
        <v>411</v>
      </c>
      <c r="G11" s="95" t="s">
        <v>314</v>
      </c>
      <c r="H11" s="95" t="s">
        <v>325</v>
      </c>
      <c r="I11" s="2" t="s">
        <v>155</v>
      </c>
      <c r="J11" s="226" t="s">
        <v>416</v>
      </c>
      <c r="K11" s="3">
        <v>2</v>
      </c>
      <c r="L11" s="14"/>
      <c r="M11" s="222" t="s">
        <v>130</v>
      </c>
      <c r="N11" s="222" t="s">
        <v>130</v>
      </c>
      <c r="O11" s="222" t="s">
        <v>362</v>
      </c>
      <c r="P11" s="5">
        <v>450</v>
      </c>
      <c r="Q11" s="6">
        <v>78</v>
      </c>
      <c r="R11" s="7">
        <f t="shared" si="0"/>
        <v>0.17333333333333334</v>
      </c>
      <c r="S11" s="8">
        <v>4050</v>
      </c>
      <c r="T11" s="9">
        <v>711</v>
      </c>
      <c r="U11" s="10">
        <f t="shared" si="1"/>
        <v>0.17555555555555555</v>
      </c>
      <c r="V11" s="91">
        <f t="shared" si="2"/>
        <v>3339</v>
      </c>
      <c r="W11" s="12"/>
      <c r="X11" s="11">
        <v>70000</v>
      </c>
      <c r="Y11" s="12">
        <v>0</v>
      </c>
      <c r="Z11" s="94">
        <f t="shared" si="3"/>
        <v>0</v>
      </c>
      <c r="AA11" s="254">
        <f t="shared" si="4"/>
        <v>2015848.34</v>
      </c>
      <c r="AB11" s="97">
        <v>419865.1</v>
      </c>
      <c r="AC11" s="97">
        <v>503940</v>
      </c>
      <c r="AD11" s="97">
        <v>357040.2</v>
      </c>
      <c r="AE11" s="97">
        <v>581103.04</v>
      </c>
      <c r="AF11" s="97">
        <v>153900</v>
      </c>
    </row>
    <row r="12" spans="1:32" ht="38.25" customHeight="1">
      <c r="A12" s="72">
        <v>10</v>
      </c>
      <c r="B12" s="13" t="s">
        <v>43</v>
      </c>
      <c r="C12" s="223" t="s">
        <v>164</v>
      </c>
      <c r="D12" s="196">
        <v>710542241</v>
      </c>
      <c r="E12" s="197" t="s">
        <v>312</v>
      </c>
      <c r="F12" s="1" t="s">
        <v>406</v>
      </c>
      <c r="G12" s="95" t="s">
        <v>314</v>
      </c>
      <c r="H12" s="95" t="s">
        <v>407</v>
      </c>
      <c r="I12" s="2" t="s">
        <v>155</v>
      </c>
      <c r="J12" s="226" t="s">
        <v>408</v>
      </c>
      <c r="K12" s="3"/>
      <c r="L12" s="4"/>
      <c r="M12" s="222">
        <v>0.16111111111111112</v>
      </c>
      <c r="N12" s="222">
        <v>0.71944444444444444</v>
      </c>
      <c r="O12" s="222" t="s">
        <v>363</v>
      </c>
      <c r="P12" s="5">
        <v>450</v>
      </c>
      <c r="Q12" s="6">
        <v>0</v>
      </c>
      <c r="R12" s="7">
        <f t="shared" si="0"/>
        <v>0</v>
      </c>
      <c r="S12" s="8">
        <v>4050</v>
      </c>
      <c r="T12" s="9">
        <v>1835</v>
      </c>
      <c r="U12" s="10">
        <f t="shared" si="1"/>
        <v>0.45308641975308644</v>
      </c>
      <c r="V12" s="91">
        <f t="shared" si="2"/>
        <v>2215</v>
      </c>
      <c r="W12" s="12"/>
      <c r="X12" s="11">
        <v>70000</v>
      </c>
      <c r="Y12" s="12">
        <v>0</v>
      </c>
      <c r="Z12" s="94">
        <f t="shared" si="3"/>
        <v>0</v>
      </c>
      <c r="AA12" s="254">
        <f t="shared" si="4"/>
        <v>2411978.8200000003</v>
      </c>
      <c r="AB12" s="97">
        <v>420307.84</v>
      </c>
      <c r="AC12" s="97">
        <v>621594.98</v>
      </c>
      <c r="AD12" s="97">
        <v>544992</v>
      </c>
      <c r="AE12" s="97">
        <v>671184</v>
      </c>
      <c r="AF12" s="97">
        <v>153900</v>
      </c>
    </row>
    <row r="13" spans="1:32" ht="38.25" customHeight="1">
      <c r="A13" s="72">
        <v>11</v>
      </c>
      <c r="B13" s="13" t="s">
        <v>45</v>
      </c>
      <c r="C13" s="223" t="s">
        <v>46</v>
      </c>
      <c r="D13" s="196">
        <v>728171314</v>
      </c>
      <c r="E13" s="197" t="s">
        <v>312</v>
      </c>
      <c r="F13" s="1" t="s">
        <v>406</v>
      </c>
      <c r="G13" s="95" t="s">
        <v>314</v>
      </c>
      <c r="H13" s="95" t="s">
        <v>407</v>
      </c>
      <c r="I13" s="2" t="s">
        <v>156</v>
      </c>
      <c r="J13" s="226" t="s">
        <v>408</v>
      </c>
      <c r="K13" s="3"/>
      <c r="L13" s="14"/>
      <c r="M13" s="222" t="s">
        <v>130</v>
      </c>
      <c r="N13" s="222" t="s">
        <v>130</v>
      </c>
      <c r="O13" s="222" t="s">
        <v>364</v>
      </c>
      <c r="P13" s="5">
        <v>450</v>
      </c>
      <c r="Q13" s="6">
        <v>11</v>
      </c>
      <c r="R13" s="7">
        <f t="shared" si="0"/>
        <v>2.4444444444444446E-2</v>
      </c>
      <c r="S13" s="8">
        <v>4050</v>
      </c>
      <c r="T13" s="9">
        <v>1396</v>
      </c>
      <c r="U13" s="10">
        <f t="shared" si="1"/>
        <v>0.34469135802469136</v>
      </c>
      <c r="V13" s="91">
        <f t="shared" si="2"/>
        <v>2654</v>
      </c>
      <c r="W13" s="12"/>
      <c r="X13" s="11">
        <v>70000</v>
      </c>
      <c r="Y13" s="12">
        <v>0</v>
      </c>
      <c r="Z13" s="94">
        <f t="shared" si="3"/>
        <v>0</v>
      </c>
      <c r="AA13" s="254">
        <f t="shared" si="4"/>
        <v>2307130.06</v>
      </c>
      <c r="AB13" s="97">
        <v>420307.84</v>
      </c>
      <c r="AC13" s="97">
        <v>621730.38</v>
      </c>
      <c r="AD13" s="97">
        <v>544092</v>
      </c>
      <c r="AE13" s="97">
        <v>567099.84</v>
      </c>
      <c r="AF13" s="97">
        <v>153900</v>
      </c>
    </row>
    <row r="14" spans="1:32" ht="38.25" customHeight="1">
      <c r="A14" s="72">
        <v>12</v>
      </c>
      <c r="B14" s="13" t="s">
        <v>47</v>
      </c>
      <c r="C14" s="223" t="s">
        <v>42</v>
      </c>
      <c r="D14" s="196">
        <v>711823214</v>
      </c>
      <c r="E14" s="197" t="s">
        <v>312</v>
      </c>
      <c r="F14" s="1" t="s">
        <v>406</v>
      </c>
      <c r="G14" s="95" t="s">
        <v>314</v>
      </c>
      <c r="H14" s="95" t="s">
        <v>407</v>
      </c>
      <c r="I14" s="2" t="s">
        <v>155</v>
      </c>
      <c r="J14" s="226" t="s">
        <v>408</v>
      </c>
      <c r="K14" s="3"/>
      <c r="L14" s="14"/>
      <c r="M14" s="222" t="s">
        <v>130</v>
      </c>
      <c r="N14" s="222" t="s">
        <v>130</v>
      </c>
      <c r="O14" s="222" t="s">
        <v>365</v>
      </c>
      <c r="P14" s="5">
        <v>450</v>
      </c>
      <c r="Q14" s="6">
        <v>295</v>
      </c>
      <c r="R14" s="7">
        <f t="shared" si="0"/>
        <v>0.65555555555555556</v>
      </c>
      <c r="S14" s="8">
        <v>4050</v>
      </c>
      <c r="T14" s="9">
        <v>1801</v>
      </c>
      <c r="U14" s="10">
        <f t="shared" si="1"/>
        <v>0.44469135802469134</v>
      </c>
      <c r="V14" s="91">
        <f t="shared" si="2"/>
        <v>2249</v>
      </c>
      <c r="W14" s="12"/>
      <c r="X14" s="11">
        <v>70000</v>
      </c>
      <c r="Y14" s="12">
        <v>0</v>
      </c>
      <c r="Z14" s="94">
        <f t="shared" si="3"/>
        <v>0</v>
      </c>
      <c r="AA14" s="254">
        <f t="shared" si="4"/>
        <v>3102152.38</v>
      </c>
      <c r="AB14" s="97">
        <v>510603</v>
      </c>
      <c r="AC14" s="97">
        <v>896065.38</v>
      </c>
      <c r="AD14" s="97">
        <v>716500</v>
      </c>
      <c r="AE14" s="97">
        <v>671184</v>
      </c>
      <c r="AF14" s="97">
        <v>307800</v>
      </c>
    </row>
    <row r="15" spans="1:32" ht="38.25" customHeight="1">
      <c r="A15" s="72">
        <v>13</v>
      </c>
      <c r="B15" s="13" t="s">
        <v>49</v>
      </c>
      <c r="C15" s="223" t="s">
        <v>50</v>
      </c>
      <c r="D15" s="196">
        <v>722277366</v>
      </c>
      <c r="E15" s="197" t="s">
        <v>312</v>
      </c>
      <c r="F15" s="1" t="s">
        <v>412</v>
      </c>
      <c r="G15" s="95" t="s">
        <v>314</v>
      </c>
      <c r="H15" s="95" t="s">
        <v>325</v>
      </c>
      <c r="I15" s="2" t="s">
        <v>156</v>
      </c>
      <c r="J15" s="226"/>
      <c r="K15" s="3"/>
      <c r="L15" s="14"/>
      <c r="M15" s="222">
        <v>0.52986111111111112</v>
      </c>
      <c r="N15" s="222">
        <v>0.86805555555555558</v>
      </c>
      <c r="O15" s="222" t="s">
        <v>366</v>
      </c>
      <c r="P15" s="5">
        <v>450</v>
      </c>
      <c r="Q15" s="6">
        <v>46</v>
      </c>
      <c r="R15" s="7">
        <f t="shared" si="0"/>
        <v>0.10222222222222223</v>
      </c>
      <c r="S15" s="8">
        <v>4050</v>
      </c>
      <c r="T15" s="9">
        <v>1064</v>
      </c>
      <c r="U15" s="10">
        <f t="shared" si="1"/>
        <v>0.26271604938271603</v>
      </c>
      <c r="V15" s="91">
        <f t="shared" si="2"/>
        <v>2986</v>
      </c>
      <c r="W15" s="12"/>
      <c r="X15" s="11">
        <v>70000</v>
      </c>
      <c r="Y15" s="12">
        <v>0</v>
      </c>
      <c r="Z15" s="94">
        <f t="shared" si="3"/>
        <v>0</v>
      </c>
      <c r="AA15" s="254">
        <f t="shared" si="4"/>
        <v>2119398.64</v>
      </c>
      <c r="AB15" s="97">
        <v>421192</v>
      </c>
      <c r="AC15" s="97">
        <v>622076.16000000003</v>
      </c>
      <c r="AD15" s="97">
        <v>544986</v>
      </c>
      <c r="AE15" s="97">
        <v>377244.48</v>
      </c>
      <c r="AF15" s="97">
        <v>153900</v>
      </c>
    </row>
    <row r="16" spans="1:32" ht="38.25" customHeight="1">
      <c r="A16" s="72">
        <v>14</v>
      </c>
      <c r="B16" s="13" t="s">
        <v>51</v>
      </c>
      <c r="C16" s="223" t="s">
        <v>449</v>
      </c>
      <c r="D16" s="196"/>
      <c r="E16" s="197" t="s">
        <v>312</v>
      </c>
      <c r="F16" s="1" t="s">
        <v>406</v>
      </c>
      <c r="G16" s="95" t="s">
        <v>314</v>
      </c>
      <c r="H16" s="95" t="s">
        <v>407</v>
      </c>
      <c r="I16" s="2" t="s">
        <v>155</v>
      </c>
      <c r="J16" s="226" t="s">
        <v>417</v>
      </c>
      <c r="K16" s="3"/>
      <c r="L16" s="14"/>
      <c r="M16" s="222" t="s">
        <v>130</v>
      </c>
      <c r="N16" s="222" t="s">
        <v>130</v>
      </c>
      <c r="O16" s="222" t="s">
        <v>367</v>
      </c>
      <c r="P16" s="5">
        <v>450</v>
      </c>
      <c r="Q16" s="6">
        <v>0</v>
      </c>
      <c r="R16" s="7">
        <f t="shared" si="0"/>
        <v>0</v>
      </c>
      <c r="S16" s="8">
        <v>4050</v>
      </c>
      <c r="T16" s="9">
        <v>1373</v>
      </c>
      <c r="U16" s="10">
        <f t="shared" si="1"/>
        <v>0.33901234567901234</v>
      </c>
      <c r="V16" s="91">
        <f t="shared" si="2"/>
        <v>2677</v>
      </c>
      <c r="W16" s="12"/>
      <c r="X16" s="11">
        <v>70000</v>
      </c>
      <c r="Y16" s="12">
        <v>0</v>
      </c>
      <c r="Z16" s="94">
        <f t="shared" si="3"/>
        <v>0</v>
      </c>
      <c r="AA16" s="254">
        <f t="shared" si="4"/>
        <v>2362022.54</v>
      </c>
      <c r="AB16" s="97">
        <v>510898.16</v>
      </c>
      <c r="AC16" s="97">
        <v>621745.38</v>
      </c>
      <c r="AD16" s="97">
        <v>544978.19999999995</v>
      </c>
      <c r="AE16" s="97">
        <v>530500.80000000005</v>
      </c>
      <c r="AF16" s="97">
        <v>153900</v>
      </c>
    </row>
    <row r="17" spans="1:32" ht="38.25" customHeight="1">
      <c r="A17" s="72">
        <v>15</v>
      </c>
      <c r="B17" s="195" t="s">
        <v>53</v>
      </c>
      <c r="C17" s="223" t="s">
        <v>322</v>
      </c>
      <c r="D17" s="196">
        <v>722145769</v>
      </c>
      <c r="E17" s="197" t="s">
        <v>312</v>
      </c>
      <c r="F17" s="1" t="s">
        <v>406</v>
      </c>
      <c r="G17" s="95" t="s">
        <v>314</v>
      </c>
      <c r="H17" s="95" t="s">
        <v>407</v>
      </c>
      <c r="I17" s="2" t="s">
        <v>155</v>
      </c>
      <c r="J17" s="226" t="s">
        <v>408</v>
      </c>
      <c r="K17" s="3"/>
      <c r="L17" s="14"/>
      <c r="M17" s="222" t="s">
        <v>130</v>
      </c>
      <c r="N17" s="222" t="s">
        <v>130</v>
      </c>
      <c r="O17" s="222" t="s">
        <v>368</v>
      </c>
      <c r="P17" s="5">
        <v>450</v>
      </c>
      <c r="Q17" s="6">
        <v>123</v>
      </c>
      <c r="R17" s="7">
        <f t="shared" si="0"/>
        <v>0.27333333333333332</v>
      </c>
      <c r="S17" s="8">
        <v>4050</v>
      </c>
      <c r="T17" s="9">
        <v>1070</v>
      </c>
      <c r="U17" s="10">
        <f t="shared" si="1"/>
        <v>0.26419753086419751</v>
      </c>
      <c r="V17" s="91">
        <f t="shared" si="2"/>
        <v>2980</v>
      </c>
      <c r="W17" s="12"/>
      <c r="X17" s="11">
        <v>70000</v>
      </c>
      <c r="Y17" s="12">
        <v>0</v>
      </c>
      <c r="Z17" s="94">
        <f t="shared" si="3"/>
        <v>0</v>
      </c>
      <c r="AA17" s="254">
        <f t="shared" si="4"/>
        <v>2166349.37</v>
      </c>
      <c r="AB17" s="97">
        <v>417282.45</v>
      </c>
      <c r="AC17" s="97">
        <v>700274.64</v>
      </c>
      <c r="AD17" s="97">
        <v>351683</v>
      </c>
      <c r="AE17" s="97">
        <v>543209.28</v>
      </c>
      <c r="AF17" s="97">
        <v>153900</v>
      </c>
    </row>
    <row r="18" spans="1:32" ht="38.25" customHeight="1">
      <c r="A18" s="72">
        <v>16</v>
      </c>
      <c r="B18" s="13" t="s">
        <v>55</v>
      </c>
      <c r="C18" s="223" t="s">
        <v>321</v>
      </c>
      <c r="D18" s="196">
        <v>727245785</v>
      </c>
      <c r="E18" s="197" t="s">
        <v>312</v>
      </c>
      <c r="F18" s="1" t="s">
        <v>406</v>
      </c>
      <c r="G18" s="95" t="s">
        <v>314</v>
      </c>
      <c r="H18" s="95" t="s">
        <v>407</v>
      </c>
      <c r="I18" s="2" t="s">
        <v>155</v>
      </c>
      <c r="J18" s="226" t="s">
        <v>408</v>
      </c>
      <c r="K18" s="3"/>
      <c r="L18" s="4"/>
      <c r="M18" s="222" t="s">
        <v>130</v>
      </c>
      <c r="N18" s="222" t="s">
        <v>130</v>
      </c>
      <c r="O18" s="222" t="s">
        <v>369</v>
      </c>
      <c r="P18" s="5">
        <v>450</v>
      </c>
      <c r="Q18" s="6">
        <v>210</v>
      </c>
      <c r="R18" s="7">
        <f t="shared" si="0"/>
        <v>0.46666666666666667</v>
      </c>
      <c r="S18" s="8">
        <v>4050</v>
      </c>
      <c r="T18" s="9">
        <v>1477</v>
      </c>
      <c r="U18" s="10">
        <f t="shared" si="1"/>
        <v>0.36469135802469138</v>
      </c>
      <c r="V18" s="91">
        <f t="shared" si="2"/>
        <v>2573</v>
      </c>
      <c r="W18" s="12"/>
      <c r="X18" s="11">
        <v>70000</v>
      </c>
      <c r="Y18" s="12">
        <v>0</v>
      </c>
      <c r="Z18" s="94">
        <f t="shared" si="3"/>
        <v>0</v>
      </c>
      <c r="AA18" s="254">
        <f t="shared" si="4"/>
        <v>2390731.1800000002</v>
      </c>
      <c r="AB18" s="97">
        <v>420898.16</v>
      </c>
      <c r="AC18" s="97">
        <v>621294.18000000005</v>
      </c>
      <c r="AD18" s="97">
        <v>630539</v>
      </c>
      <c r="AE18" s="97">
        <v>564099.83999999997</v>
      </c>
      <c r="AF18" s="97">
        <v>153900</v>
      </c>
    </row>
    <row r="19" spans="1:32" ht="38.25" customHeight="1">
      <c r="A19" s="72">
        <v>18</v>
      </c>
      <c r="B19" s="198" t="s">
        <v>58</v>
      </c>
      <c r="C19" s="223" t="s">
        <v>59</v>
      </c>
      <c r="D19" s="196">
        <v>722643388</v>
      </c>
      <c r="E19" s="197" t="s">
        <v>312</v>
      </c>
      <c r="F19" s="1" t="s">
        <v>406</v>
      </c>
      <c r="G19" s="95" t="s">
        <v>314</v>
      </c>
      <c r="H19" s="95" t="s">
        <v>407</v>
      </c>
      <c r="I19" s="2" t="s">
        <v>155</v>
      </c>
      <c r="J19" s="226" t="s">
        <v>408</v>
      </c>
      <c r="K19" s="3"/>
      <c r="L19" s="14"/>
      <c r="M19" s="222" t="s">
        <v>130</v>
      </c>
      <c r="N19" s="222" t="s">
        <v>130</v>
      </c>
      <c r="O19" s="222" t="s">
        <v>370</v>
      </c>
      <c r="P19" s="5">
        <v>450</v>
      </c>
      <c r="Q19" s="6">
        <v>95</v>
      </c>
      <c r="R19" s="7">
        <f t="shared" si="0"/>
        <v>0.21111111111111111</v>
      </c>
      <c r="S19" s="8">
        <v>4050</v>
      </c>
      <c r="T19" s="9">
        <v>1317</v>
      </c>
      <c r="U19" s="10">
        <f t="shared" si="1"/>
        <v>0.32518518518518519</v>
      </c>
      <c r="V19" s="91">
        <f t="shared" si="2"/>
        <v>2733</v>
      </c>
      <c r="W19" s="12"/>
      <c r="X19" s="11">
        <v>70000</v>
      </c>
      <c r="Y19" s="12">
        <v>0</v>
      </c>
      <c r="Z19" s="94">
        <f t="shared" si="3"/>
        <v>0</v>
      </c>
      <c r="AA19" s="254">
        <f t="shared" si="4"/>
        <v>2631291.0300000003</v>
      </c>
      <c r="AB19" s="97">
        <v>420750.5</v>
      </c>
      <c r="AC19" s="97">
        <v>621309.17000000004</v>
      </c>
      <c r="AD19" s="97">
        <v>722531.2</v>
      </c>
      <c r="AE19" s="97">
        <v>558900.16</v>
      </c>
      <c r="AF19" s="97">
        <v>307800</v>
      </c>
    </row>
    <row r="20" spans="1:32" ht="38.25" customHeight="1">
      <c r="A20" s="72">
        <v>19</v>
      </c>
      <c r="B20" s="13" t="s">
        <v>60</v>
      </c>
      <c r="C20" s="223" t="s">
        <v>450</v>
      </c>
      <c r="D20" s="196">
        <v>720857506</v>
      </c>
      <c r="E20" s="197" t="s">
        <v>312</v>
      </c>
      <c r="F20" s="1" t="s">
        <v>406</v>
      </c>
      <c r="G20" s="95" t="s">
        <v>315</v>
      </c>
      <c r="H20" s="95" t="s">
        <v>407</v>
      </c>
      <c r="I20" s="2" t="s">
        <v>156</v>
      </c>
      <c r="J20" s="226"/>
      <c r="K20" s="3"/>
      <c r="L20" s="14"/>
      <c r="M20" s="222" t="s">
        <v>130</v>
      </c>
      <c r="N20" s="222" t="s">
        <v>130</v>
      </c>
      <c r="O20" s="222" t="s">
        <v>371</v>
      </c>
      <c r="P20" s="5">
        <v>450</v>
      </c>
      <c r="Q20" s="6">
        <v>385</v>
      </c>
      <c r="R20" s="7">
        <f t="shared" si="0"/>
        <v>0.85555555555555551</v>
      </c>
      <c r="S20" s="8">
        <v>4050</v>
      </c>
      <c r="T20" s="9">
        <v>990</v>
      </c>
      <c r="U20" s="10">
        <f t="shared" si="1"/>
        <v>0.24444444444444444</v>
      </c>
      <c r="V20" s="91">
        <f t="shared" si="2"/>
        <v>3060</v>
      </c>
      <c r="W20" s="12"/>
      <c r="X20" s="11">
        <v>70000</v>
      </c>
      <c r="Y20" s="12">
        <v>0</v>
      </c>
      <c r="Z20" s="94">
        <f t="shared" si="3"/>
        <v>0</v>
      </c>
      <c r="AA20" s="254">
        <f t="shared" si="4"/>
        <v>2044505.96</v>
      </c>
      <c r="AB20" s="97">
        <v>415585.28000000003</v>
      </c>
      <c r="AC20" s="97">
        <v>521640</v>
      </c>
      <c r="AD20" s="97">
        <v>364997</v>
      </c>
      <c r="AE20" s="97">
        <v>588383.68000000005</v>
      </c>
      <c r="AF20" s="97">
        <v>153900</v>
      </c>
    </row>
    <row r="21" spans="1:32" ht="38.25" customHeight="1">
      <c r="A21" s="72">
        <v>20</v>
      </c>
      <c r="B21" s="13" t="s">
        <v>62</v>
      </c>
      <c r="C21" s="223" t="s">
        <v>63</v>
      </c>
      <c r="D21" s="196">
        <v>729047985</v>
      </c>
      <c r="E21" s="197" t="s">
        <v>312</v>
      </c>
      <c r="F21" s="1" t="s">
        <v>406</v>
      </c>
      <c r="G21" s="95" t="s">
        <v>314</v>
      </c>
      <c r="H21" s="95" t="s">
        <v>407</v>
      </c>
      <c r="I21" s="2" t="s">
        <v>155</v>
      </c>
      <c r="J21" s="226" t="s">
        <v>408</v>
      </c>
      <c r="K21" s="3"/>
      <c r="L21" s="14"/>
      <c r="M21" s="222">
        <v>1.8749999999999999E-2</v>
      </c>
      <c r="N21" s="222">
        <v>0.78819444444444442</v>
      </c>
      <c r="O21" s="222" t="s">
        <v>372</v>
      </c>
      <c r="P21" s="5">
        <v>450</v>
      </c>
      <c r="Q21" s="6">
        <v>0</v>
      </c>
      <c r="R21" s="7">
        <f t="shared" si="0"/>
        <v>0</v>
      </c>
      <c r="S21" s="8">
        <v>4050</v>
      </c>
      <c r="T21" s="9">
        <v>1092</v>
      </c>
      <c r="U21" s="10">
        <f t="shared" si="1"/>
        <v>0.26962962962962961</v>
      </c>
      <c r="V21" s="91">
        <f t="shared" si="2"/>
        <v>2958</v>
      </c>
      <c r="W21" s="12"/>
      <c r="X21" s="11">
        <v>70000</v>
      </c>
      <c r="Y21" s="12">
        <v>0</v>
      </c>
      <c r="Z21" s="94">
        <f t="shared" si="3"/>
        <v>0</v>
      </c>
      <c r="AA21" s="254">
        <f t="shared" si="4"/>
        <v>2375657.3200000003</v>
      </c>
      <c r="AB21" s="97">
        <v>420160.26</v>
      </c>
      <c r="AC21" s="97">
        <v>621745.38</v>
      </c>
      <c r="AD21" s="97">
        <v>594468</v>
      </c>
      <c r="AE21" s="97">
        <v>585383.68000000005</v>
      </c>
      <c r="AF21" s="97">
        <v>153900</v>
      </c>
    </row>
    <row r="22" spans="1:32" ht="38.25" customHeight="1">
      <c r="A22" s="73">
        <v>21</v>
      </c>
      <c r="B22" s="15" t="s">
        <v>64</v>
      </c>
      <c r="C22" s="223" t="s">
        <v>451</v>
      </c>
      <c r="D22" s="199"/>
      <c r="E22" s="197" t="s">
        <v>312</v>
      </c>
      <c r="F22" s="1" t="s">
        <v>373</v>
      </c>
      <c r="G22" s="95" t="s">
        <v>314</v>
      </c>
      <c r="H22" s="95" t="s">
        <v>324</v>
      </c>
      <c r="I22" s="2" t="s">
        <v>156</v>
      </c>
      <c r="J22" s="226"/>
      <c r="K22" s="3">
        <v>1</v>
      </c>
      <c r="L22" s="16"/>
      <c r="M22" s="222" t="s">
        <v>130</v>
      </c>
      <c r="N22" s="222" t="s">
        <v>130</v>
      </c>
      <c r="O22" s="222" t="s">
        <v>159</v>
      </c>
      <c r="P22" s="17">
        <v>450</v>
      </c>
      <c r="Q22" s="6">
        <v>0</v>
      </c>
      <c r="R22" s="7">
        <f t="shared" si="0"/>
        <v>0</v>
      </c>
      <c r="S22" s="8">
        <v>4050</v>
      </c>
      <c r="T22" s="9">
        <v>489</v>
      </c>
      <c r="U22" s="10">
        <f t="shared" si="1"/>
        <v>0.12074074074074075</v>
      </c>
      <c r="V22" s="91">
        <f t="shared" si="2"/>
        <v>3561</v>
      </c>
      <c r="W22" s="12"/>
      <c r="X22" s="11">
        <v>70000</v>
      </c>
      <c r="Y22" s="12">
        <v>0</v>
      </c>
      <c r="Z22" s="94">
        <f t="shared" si="3"/>
        <v>0</v>
      </c>
      <c r="AA22" s="254">
        <f t="shared" si="4"/>
        <v>1589707.88</v>
      </c>
      <c r="AB22" s="97">
        <v>420455.42</v>
      </c>
      <c r="AC22" s="97">
        <v>621594.98</v>
      </c>
      <c r="AD22" s="97">
        <v>277461</v>
      </c>
      <c r="AE22" s="97">
        <v>270196.47999999998</v>
      </c>
      <c r="AF22" s="97">
        <v>0</v>
      </c>
    </row>
    <row r="23" spans="1:32" ht="38.25" customHeight="1">
      <c r="A23" s="72">
        <v>17</v>
      </c>
      <c r="B23" s="13" t="s">
        <v>56</v>
      </c>
      <c r="C23" s="224"/>
      <c r="D23" s="196">
        <v>710109741</v>
      </c>
      <c r="E23" s="197"/>
      <c r="F23" s="1" t="s">
        <v>131</v>
      </c>
      <c r="G23" s="95" t="s">
        <v>163</v>
      </c>
      <c r="H23" s="95"/>
      <c r="I23" s="2" t="s">
        <v>155</v>
      </c>
      <c r="J23" s="226"/>
      <c r="K23" s="3"/>
      <c r="L23" s="4"/>
      <c r="M23" s="222" t="s">
        <v>130</v>
      </c>
      <c r="N23" s="222" t="s">
        <v>130</v>
      </c>
      <c r="O23" s="222">
        <v>24</v>
      </c>
      <c r="P23" s="5">
        <v>450</v>
      </c>
      <c r="Q23" s="6">
        <v>0</v>
      </c>
      <c r="R23" s="7">
        <f t="shared" si="0"/>
        <v>0</v>
      </c>
      <c r="S23" s="8">
        <v>4050</v>
      </c>
      <c r="T23" s="9">
        <v>0</v>
      </c>
      <c r="U23" s="10">
        <f t="shared" si="1"/>
        <v>0</v>
      </c>
      <c r="V23" s="91">
        <f t="shared" si="2"/>
        <v>4050</v>
      </c>
      <c r="W23" s="12"/>
      <c r="X23" s="11">
        <v>70000</v>
      </c>
      <c r="Y23" s="12">
        <v>0</v>
      </c>
      <c r="Z23" s="94">
        <f t="shared" si="3"/>
        <v>0</v>
      </c>
      <c r="AA23" s="254">
        <f t="shared" si="4"/>
        <v>378840</v>
      </c>
      <c r="AB23" s="97">
        <v>0</v>
      </c>
      <c r="AC23" s="97">
        <v>378840</v>
      </c>
      <c r="AD23" s="97">
        <v>0</v>
      </c>
      <c r="AE23" s="97">
        <v>0</v>
      </c>
      <c r="AF23" s="97">
        <v>0</v>
      </c>
    </row>
    <row r="24" spans="1:32" ht="18">
      <c r="A24" s="74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ht="28">
      <c r="A25" s="20"/>
      <c r="B25" s="21"/>
      <c r="C25" s="22"/>
      <c r="D25" s="23"/>
      <c r="E25" s="24"/>
      <c r="F25" s="25"/>
      <c r="G25" s="26"/>
      <c r="H25" s="26"/>
      <c r="I25" s="27"/>
      <c r="J25" s="28"/>
      <c r="K25" s="29" t="s">
        <v>66</v>
      </c>
      <c r="L25" s="30"/>
      <c r="M25" s="31"/>
      <c r="N25" s="31"/>
      <c r="O25" s="32"/>
      <c r="P25" s="33">
        <f>SUM(P6:P22)</f>
        <v>7650</v>
      </c>
      <c r="Q25" s="33">
        <f>SUM(Q3:Q22)</f>
        <v>2116</v>
      </c>
      <c r="R25" s="34">
        <f>Q25/P25</f>
        <v>0.27660130718954251</v>
      </c>
      <c r="S25" s="35">
        <f>SUM(S6:S22)</f>
        <v>68850</v>
      </c>
      <c r="T25" s="35">
        <f>SUM(T6:T22)</f>
        <v>21306</v>
      </c>
      <c r="U25" s="34">
        <f>AVERAGE(U3:U22)</f>
        <v>0.26303703703703696</v>
      </c>
      <c r="V25" s="36">
        <f>SUM(V3:V21)</f>
        <v>56133</v>
      </c>
      <c r="W25" s="37">
        <f>SUM(W3:W22)</f>
        <v>0</v>
      </c>
      <c r="X25" s="38">
        <f>SUM(X6:X23)</f>
        <v>1170000</v>
      </c>
      <c r="Y25" s="38">
        <f>SUM(Y3:Y22)</f>
        <v>0</v>
      </c>
      <c r="Z25" s="39">
        <f>AVERAGE(Z3:Z22)</f>
        <v>0</v>
      </c>
      <c r="AA25" s="38">
        <f t="shared" ref="AA25:AF25" si="5">SUM(AA3:AA22)</f>
        <v>37584527.700000003</v>
      </c>
      <c r="AB25" s="38">
        <f t="shared" si="5"/>
        <v>7581492.6500000004</v>
      </c>
      <c r="AC25" s="38">
        <f t="shared" si="5"/>
        <v>9565327.4900000002</v>
      </c>
      <c r="AD25" s="38">
        <f t="shared" si="5"/>
        <v>8391894.6000000015</v>
      </c>
      <c r="AE25" s="38">
        <f t="shared" si="5"/>
        <v>8950112.959999999</v>
      </c>
      <c r="AF25" s="38">
        <f t="shared" si="5"/>
        <v>3095700</v>
      </c>
    </row>
    <row r="26" spans="1:32" ht="28.5" thickBot="1">
      <c r="A26" s="40"/>
      <c r="B26" s="41"/>
      <c r="C26" s="42"/>
      <c r="D26" s="41"/>
      <c r="E26" s="43"/>
      <c r="F26" s="44"/>
      <c r="G26" s="45"/>
      <c r="H26" s="45"/>
      <c r="I26" s="46"/>
      <c r="J26" s="47"/>
      <c r="K26" s="48" t="s">
        <v>67</v>
      </c>
      <c r="L26" s="47"/>
      <c r="M26" s="49"/>
      <c r="N26" s="49"/>
      <c r="O26" s="50"/>
      <c r="P26" s="51">
        <f>AVERAGE(P3:P22)</f>
        <v>450</v>
      </c>
      <c r="Q26" s="52">
        <f>AVERAGE(Q6:Q22)</f>
        <v>124.47058823529412</v>
      </c>
      <c r="R26" s="34">
        <f>Q26/P26</f>
        <v>0.27660130718954246</v>
      </c>
      <c r="S26" s="52">
        <f t="shared" ref="S26:X26" si="6">AVERAGE(S3:S22)</f>
        <v>4050</v>
      </c>
      <c r="T26" s="52">
        <f t="shared" si="6"/>
        <v>1065.3</v>
      </c>
      <c r="U26" s="53">
        <f t="shared" si="6"/>
        <v>0.26303703703703696</v>
      </c>
      <c r="V26" s="54">
        <f t="shared" si="6"/>
        <v>2984.7</v>
      </c>
      <c r="W26" s="55" t="e">
        <f t="shared" si="6"/>
        <v>#DIV/0!</v>
      </c>
      <c r="X26" s="56">
        <f t="shared" si="6"/>
        <v>61000</v>
      </c>
      <c r="Y26" s="56">
        <f>AVERAGE(Y6:Y22)</f>
        <v>0</v>
      </c>
      <c r="Z26" s="57">
        <f>Y26/X26</f>
        <v>0</v>
      </c>
      <c r="AA26" s="56">
        <f>AVERAGE(AA6:AA22)</f>
        <v>2210854.5705882353</v>
      </c>
      <c r="AB26" s="56">
        <f>AVERAGE(AB6:AB22)</f>
        <v>445970.15588235296</v>
      </c>
      <c r="AC26" s="56">
        <f>AVERAGE(AC6:AC23)</f>
        <v>552453.74944444443</v>
      </c>
      <c r="AD26" s="56">
        <f>AVERAGE(AD6:AD22)</f>
        <v>493640.8588235295</v>
      </c>
      <c r="AE26" s="56">
        <f>AVERAGE(AE6:AE22)</f>
        <v>526477.23294117639</v>
      </c>
      <c r="AF26" s="56">
        <f>AVERAGE(AF6:AF22)</f>
        <v>182100</v>
      </c>
    </row>
    <row r="27" spans="1:32" ht="21" customHeight="1" thickBot="1">
      <c r="A27" s="75"/>
      <c r="B27" s="76"/>
      <c r="C27" s="77"/>
      <c r="D27" s="76"/>
      <c r="E27" s="78"/>
      <c r="F27" s="76"/>
      <c r="G27" s="79"/>
      <c r="H27" s="79"/>
      <c r="I27" s="80"/>
      <c r="J27" s="81"/>
      <c r="K27" s="76"/>
      <c r="L27" s="76"/>
      <c r="M27" s="82"/>
      <c r="N27" s="82"/>
      <c r="O27" s="83"/>
      <c r="P27" s="84"/>
      <c r="Q27" s="85"/>
      <c r="R27" s="80"/>
      <c r="S27" s="86"/>
      <c r="T27" s="85"/>
      <c r="U27" s="87"/>
      <c r="V27" s="85"/>
      <c r="W27" s="88"/>
      <c r="X27" s="89"/>
      <c r="Y27" s="88"/>
      <c r="Z27" s="58" t="s">
        <v>148</v>
      </c>
      <c r="AA27" s="88"/>
      <c r="AB27" s="256">
        <f>AB25/15000000</f>
        <v>0.50543284333333338</v>
      </c>
      <c r="AC27" s="256">
        <f t="shared" ref="AC27" si="7">AC25/15000000</f>
        <v>0.63768849933333338</v>
      </c>
      <c r="AD27" s="88"/>
      <c r="AE27" s="88"/>
      <c r="AF27" s="88"/>
    </row>
    <row r="28" spans="1:32">
      <c r="AA28" t="s">
        <v>167</v>
      </c>
    </row>
  </sheetData>
  <autoFilter ref="B2:AF23" xr:uid="{69EC1077-D6F8-4A37-B17C-27D2A9B25F44}"/>
  <dataConsolidate/>
  <mergeCells count="5">
    <mergeCell ref="AA1:AF1"/>
    <mergeCell ref="A1:E1"/>
    <mergeCell ref="P1:V1"/>
    <mergeCell ref="W1:Z1"/>
    <mergeCell ref="F1:O1"/>
  </mergeCells>
  <phoneticPr fontId="21" type="noConversion"/>
  <conditionalFormatting sqref="B8">
    <cfRule type="duplicateValues" dxfId="287" priority="12"/>
  </conditionalFormatting>
  <conditionalFormatting sqref="B10 B7">
    <cfRule type="duplicateValues" dxfId="286" priority="14"/>
  </conditionalFormatting>
  <conditionalFormatting sqref="B11">
    <cfRule type="duplicateValues" dxfId="285" priority="10"/>
  </conditionalFormatting>
  <conditionalFormatting sqref="B13">
    <cfRule type="duplicateValues" dxfId="284" priority="9"/>
  </conditionalFormatting>
  <conditionalFormatting sqref="B14">
    <cfRule type="duplicateValues" dxfId="283" priority="11"/>
  </conditionalFormatting>
  <conditionalFormatting sqref="B16:B17 B12">
    <cfRule type="duplicateValues" dxfId="282" priority="17"/>
  </conditionalFormatting>
  <conditionalFormatting sqref="B23 B18:B20">
    <cfRule type="duplicateValues" dxfId="281" priority="15"/>
  </conditionalFormatting>
  <conditionalFormatting sqref="B24 B22 B15 B9 B3:B6">
    <cfRule type="duplicateValues" dxfId="280" priority="18"/>
  </conditionalFormatting>
  <conditionalFormatting sqref="B25">
    <cfRule type="duplicateValues" dxfId="279" priority="24"/>
  </conditionalFormatting>
  <conditionalFormatting sqref="Q3:Q23">
    <cfRule type="iconSet" priority="1">
      <iconSet iconSet="3Symbols">
        <cfvo type="percent" val="0"/>
        <cfvo type="num" val="400"/>
        <cfvo type="num" val="450"/>
      </iconSet>
    </cfRule>
    <cfRule type="colorScale" priority="2">
      <colorScale>
        <cfvo type="num" val="100"/>
        <cfvo type="num" val="450"/>
        <cfvo type="num" val="650"/>
        <color rgb="FFF8696B"/>
        <color theme="7" tint="0.79998168889431442"/>
        <color rgb="FF63BE7B"/>
      </colorScale>
    </cfRule>
  </conditionalFormatting>
  <conditionalFormatting sqref="V3:V23">
    <cfRule type="cellIs" dxfId="278" priority="3" operator="lessThan">
      <formula>0</formula>
    </cfRule>
    <cfRule type="cellIs" dxfId="277" priority="4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9DB3-5A78-479F-BC4C-CEFCE876740F}">
  <dimension ref="A1:N28"/>
  <sheetViews>
    <sheetView zoomScale="75" zoomScaleNormal="7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48" sqref="E48"/>
    </sheetView>
  </sheetViews>
  <sheetFormatPr defaultRowHeight="14.5"/>
  <cols>
    <col min="1" max="1" width="16.1796875" bestFit="1" customWidth="1"/>
    <col min="2" max="2" width="29.81640625" bestFit="1" customWidth="1"/>
    <col min="3" max="3" width="25.6328125" bestFit="1" customWidth="1"/>
    <col min="4" max="5" width="27.1796875" bestFit="1" customWidth="1"/>
    <col min="6" max="6" width="25.6328125" bestFit="1" customWidth="1"/>
    <col min="7" max="11" width="27.1796875" bestFit="1" customWidth="1"/>
    <col min="12" max="12" width="25.6328125" bestFit="1" customWidth="1"/>
    <col min="13" max="13" width="27.1796875" bestFit="1" customWidth="1"/>
    <col min="14" max="14" width="25.6328125" bestFit="1" customWidth="1"/>
  </cols>
  <sheetData>
    <row r="1" spans="1:14" ht="35">
      <c r="B1" s="353" t="s">
        <v>126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</row>
    <row r="2" spans="1:14" ht="40">
      <c r="A2" s="60" t="s">
        <v>4</v>
      </c>
      <c r="B2" s="253" t="s">
        <v>157</v>
      </c>
      <c r="C2" s="96" t="s">
        <v>127</v>
      </c>
      <c r="D2" s="96" t="s">
        <v>128</v>
      </c>
      <c r="E2" s="96" t="s">
        <v>81</v>
      </c>
      <c r="F2" s="96" t="s">
        <v>80</v>
      </c>
      <c r="G2" s="96" t="s">
        <v>82</v>
      </c>
      <c r="H2" s="96" t="s">
        <v>129</v>
      </c>
      <c r="I2" s="96" t="s">
        <v>144</v>
      </c>
      <c r="J2" s="228" t="s">
        <v>147</v>
      </c>
      <c r="K2" s="96" t="s">
        <v>151</v>
      </c>
      <c r="L2" s="96" t="s">
        <v>158</v>
      </c>
      <c r="M2" s="255" t="s">
        <v>162</v>
      </c>
      <c r="N2" s="96" t="s">
        <v>166</v>
      </c>
    </row>
    <row r="3" spans="1:14" ht="17.5">
      <c r="A3" s="257" t="s">
        <v>26</v>
      </c>
      <c r="B3" s="254">
        <f t="shared" ref="B3:B23" si="0">SUM(C3:N3)</f>
        <v>0</v>
      </c>
      <c r="C3" s="97">
        <v>0</v>
      </c>
      <c r="D3" s="97">
        <v>0</v>
      </c>
      <c r="E3" s="97">
        <v>0</v>
      </c>
      <c r="F3" s="97">
        <v>0</v>
      </c>
      <c r="G3" s="97">
        <v>0</v>
      </c>
      <c r="H3" s="97">
        <v>0</v>
      </c>
      <c r="I3" s="97">
        <v>0</v>
      </c>
      <c r="J3" s="97">
        <v>0</v>
      </c>
      <c r="K3" s="97">
        <v>0</v>
      </c>
      <c r="L3" s="97">
        <v>0</v>
      </c>
      <c r="M3" s="97">
        <v>0</v>
      </c>
      <c r="N3" s="97">
        <v>0</v>
      </c>
    </row>
    <row r="4" spans="1:14" ht="17.5">
      <c r="A4" s="257" t="s">
        <v>30</v>
      </c>
      <c r="B4" s="254">
        <f t="shared" si="0"/>
        <v>0</v>
      </c>
      <c r="C4" s="97">
        <v>0</v>
      </c>
      <c r="D4" s="97">
        <v>0</v>
      </c>
      <c r="E4" s="97">
        <v>0</v>
      </c>
      <c r="F4" s="97">
        <v>0</v>
      </c>
      <c r="G4" s="97">
        <v>0</v>
      </c>
      <c r="H4" s="97">
        <v>0</v>
      </c>
      <c r="I4" s="97">
        <v>0</v>
      </c>
      <c r="J4" s="97">
        <v>0</v>
      </c>
      <c r="K4" s="97">
        <v>0</v>
      </c>
      <c r="L4" s="97">
        <v>0</v>
      </c>
      <c r="M4" s="97">
        <v>0</v>
      </c>
      <c r="N4" s="97">
        <v>0</v>
      </c>
    </row>
    <row r="5" spans="1:14" ht="17.5">
      <c r="A5" s="257" t="s">
        <v>32</v>
      </c>
      <c r="B5" s="254">
        <f t="shared" si="0"/>
        <v>0</v>
      </c>
      <c r="C5" s="97">
        <v>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0</v>
      </c>
      <c r="K5" s="97">
        <v>0</v>
      </c>
      <c r="L5" s="97">
        <v>0</v>
      </c>
      <c r="M5" s="97">
        <v>0</v>
      </c>
      <c r="N5" s="97">
        <v>0</v>
      </c>
    </row>
    <row r="6" spans="1:14" ht="17.5">
      <c r="A6" s="258" t="s">
        <v>33</v>
      </c>
      <c r="B6" s="254">
        <f t="shared" si="0"/>
        <v>4707328</v>
      </c>
      <c r="C6" s="97">
        <v>430500</v>
      </c>
      <c r="D6" s="97">
        <v>258300</v>
      </c>
      <c r="E6" s="97">
        <v>246000</v>
      </c>
      <c r="F6" s="97">
        <v>579628</v>
      </c>
      <c r="G6" s="97">
        <v>442400</v>
      </c>
      <c r="H6" s="97">
        <v>310500</v>
      </c>
      <c r="I6" s="97">
        <v>423400</v>
      </c>
      <c r="J6" s="97">
        <v>406900</v>
      </c>
      <c r="K6" s="97">
        <v>396200</v>
      </c>
      <c r="L6" s="97">
        <v>333500</v>
      </c>
      <c r="M6" s="97">
        <v>330000</v>
      </c>
      <c r="N6" s="97">
        <v>550000</v>
      </c>
    </row>
    <row r="7" spans="1:14" ht="17.5">
      <c r="A7" s="258" t="s">
        <v>35</v>
      </c>
      <c r="B7" s="254">
        <f t="shared" si="0"/>
        <v>6809400</v>
      </c>
      <c r="C7" s="97">
        <v>525000</v>
      </c>
      <c r="D7" s="97">
        <v>289050</v>
      </c>
      <c r="E7" s="97">
        <v>528900</v>
      </c>
      <c r="F7" s="97">
        <v>546100</v>
      </c>
      <c r="G7" s="97">
        <v>825000</v>
      </c>
      <c r="H7" s="97">
        <v>870750</v>
      </c>
      <c r="I7" s="97">
        <v>595900</v>
      </c>
      <c r="J7" s="97">
        <v>406900</v>
      </c>
      <c r="K7" s="97">
        <v>958300</v>
      </c>
      <c r="L7" s="97">
        <v>333500</v>
      </c>
      <c r="M7" s="97">
        <v>330000</v>
      </c>
      <c r="N7" s="97">
        <v>600000</v>
      </c>
    </row>
    <row r="8" spans="1:14" ht="17.5">
      <c r="A8" s="258" t="s">
        <v>37</v>
      </c>
      <c r="B8" s="254">
        <f t="shared" si="0"/>
        <v>3747528</v>
      </c>
      <c r="C8" s="97">
        <v>87984</v>
      </c>
      <c r="D8" s="97">
        <v>439800</v>
      </c>
      <c r="E8" s="97">
        <v>717536</v>
      </c>
      <c r="F8" s="97">
        <v>690508</v>
      </c>
      <c r="G8" s="97">
        <v>0</v>
      </c>
      <c r="H8" s="97">
        <v>0</v>
      </c>
      <c r="I8" s="97">
        <v>0</v>
      </c>
      <c r="J8" s="97">
        <v>0</v>
      </c>
      <c r="K8" s="97">
        <v>631700</v>
      </c>
      <c r="L8" s="97">
        <v>290000</v>
      </c>
      <c r="M8" s="97">
        <v>290000</v>
      </c>
      <c r="N8" s="97">
        <v>600000</v>
      </c>
    </row>
    <row r="9" spans="1:14" ht="17.5">
      <c r="A9" s="258" t="s">
        <v>38</v>
      </c>
      <c r="B9" s="254">
        <f t="shared" si="0"/>
        <v>7346906</v>
      </c>
      <c r="C9" s="97">
        <v>379080</v>
      </c>
      <c r="D9" s="97">
        <v>757680</v>
      </c>
      <c r="E9" s="97">
        <v>757680</v>
      </c>
      <c r="F9" s="97">
        <v>145600</v>
      </c>
      <c r="G9" s="97">
        <v>1372000</v>
      </c>
      <c r="H9" s="97">
        <v>422000</v>
      </c>
      <c r="I9" s="97">
        <v>630000</v>
      </c>
      <c r="J9" s="97">
        <v>829416</v>
      </c>
      <c r="K9" s="97">
        <v>501200</v>
      </c>
      <c r="L9" s="97">
        <v>515030</v>
      </c>
      <c r="M9" s="97">
        <v>402696</v>
      </c>
      <c r="N9" s="97">
        <v>634524</v>
      </c>
    </row>
    <row r="10" spans="1:14" ht="17.5">
      <c r="A10" s="258" t="s">
        <v>40</v>
      </c>
      <c r="B10" s="254">
        <f t="shared" si="0"/>
        <v>4503910</v>
      </c>
      <c r="C10" s="97">
        <v>0</v>
      </c>
      <c r="D10" s="97">
        <v>378840</v>
      </c>
      <c r="E10" s="97">
        <v>0</v>
      </c>
      <c r="F10" s="97">
        <v>0</v>
      </c>
      <c r="G10" s="97">
        <v>618900</v>
      </c>
      <c r="H10" s="97">
        <v>0</v>
      </c>
      <c r="I10" s="97">
        <v>574000</v>
      </c>
      <c r="J10" s="97">
        <v>828198</v>
      </c>
      <c r="K10" s="97">
        <v>501200</v>
      </c>
      <c r="L10" s="97">
        <v>353419</v>
      </c>
      <c r="M10" s="97">
        <v>618825</v>
      </c>
      <c r="N10" s="97">
        <v>630528</v>
      </c>
    </row>
    <row r="11" spans="1:14" ht="17.5">
      <c r="A11" s="258" t="s">
        <v>41</v>
      </c>
      <c r="B11" s="254">
        <f t="shared" si="0"/>
        <v>7491980.5</v>
      </c>
      <c r="C11" s="97">
        <v>378000</v>
      </c>
      <c r="D11" s="97">
        <v>757680</v>
      </c>
      <c r="E11" s="97">
        <v>757680</v>
      </c>
      <c r="F11" s="97">
        <v>874272</v>
      </c>
      <c r="G11" s="97">
        <v>476000</v>
      </c>
      <c r="H11" s="97">
        <v>658000</v>
      </c>
      <c r="I11" s="97">
        <v>714000</v>
      </c>
      <c r="J11" s="97">
        <v>600469.5</v>
      </c>
      <c r="K11" s="97">
        <v>561232</v>
      </c>
      <c r="L11" s="97">
        <v>546690</v>
      </c>
      <c r="M11" s="97">
        <v>702600</v>
      </c>
      <c r="N11" s="97">
        <v>465357</v>
      </c>
    </row>
    <row r="12" spans="1:14" ht="17.5">
      <c r="A12" s="258" t="s">
        <v>43</v>
      </c>
      <c r="B12" s="254">
        <f t="shared" si="0"/>
        <v>6797025</v>
      </c>
      <c r="C12" s="97">
        <v>160000</v>
      </c>
      <c r="D12" s="97">
        <v>757680</v>
      </c>
      <c r="E12" s="97">
        <v>757680</v>
      </c>
      <c r="F12" s="97">
        <v>362516</v>
      </c>
      <c r="G12" s="97">
        <v>952000</v>
      </c>
      <c r="H12" s="97">
        <v>338000</v>
      </c>
      <c r="I12" s="97">
        <v>714000</v>
      </c>
      <c r="J12" s="97">
        <v>437402</v>
      </c>
      <c r="K12" s="97">
        <v>585200</v>
      </c>
      <c r="L12" s="97">
        <v>386363</v>
      </c>
      <c r="M12" s="97">
        <v>878784</v>
      </c>
      <c r="N12" s="97">
        <v>467400</v>
      </c>
    </row>
    <row r="13" spans="1:14" ht="17.5">
      <c r="A13" s="258" t="s">
        <v>45</v>
      </c>
      <c r="B13" s="254">
        <f t="shared" si="0"/>
        <v>7782146.5</v>
      </c>
      <c r="C13" s="97">
        <v>760500</v>
      </c>
      <c r="D13" s="97">
        <v>757680</v>
      </c>
      <c r="E13" s="97">
        <v>1136520</v>
      </c>
      <c r="F13" s="97">
        <v>362516</v>
      </c>
      <c r="G13" s="97">
        <v>896000</v>
      </c>
      <c r="H13" s="97">
        <v>952000</v>
      </c>
      <c r="I13" s="97">
        <v>0</v>
      </c>
      <c r="J13" s="97">
        <v>604819.5</v>
      </c>
      <c r="K13" s="97">
        <v>747744</v>
      </c>
      <c r="L13" s="97">
        <v>385294</v>
      </c>
      <c r="M13" s="97">
        <v>711825</v>
      </c>
      <c r="N13" s="97">
        <v>467248</v>
      </c>
    </row>
    <row r="14" spans="1:14" ht="17.5">
      <c r="A14" s="258" t="s">
        <v>47</v>
      </c>
      <c r="B14" s="254">
        <f t="shared" si="0"/>
        <v>8964193.5</v>
      </c>
      <c r="C14" s="97">
        <v>763600</v>
      </c>
      <c r="D14" s="97">
        <v>378840</v>
      </c>
      <c r="E14" s="97">
        <v>1136520</v>
      </c>
      <c r="F14" s="97">
        <v>362516</v>
      </c>
      <c r="G14" s="97">
        <v>1372000</v>
      </c>
      <c r="H14" s="97">
        <v>770336</v>
      </c>
      <c r="I14" s="97">
        <v>798000</v>
      </c>
      <c r="J14" s="97">
        <v>605689.5</v>
      </c>
      <c r="K14" s="97">
        <v>747744</v>
      </c>
      <c r="L14" s="97">
        <v>515265</v>
      </c>
      <c r="M14" s="97">
        <v>878550</v>
      </c>
      <c r="N14" s="97">
        <v>635133</v>
      </c>
    </row>
    <row r="15" spans="1:14" ht="17.5">
      <c r="A15" s="258" t="s">
        <v>49</v>
      </c>
      <c r="B15" s="254">
        <f t="shared" si="0"/>
        <v>7147074</v>
      </c>
      <c r="C15" s="97">
        <v>377730</v>
      </c>
      <c r="D15" s="97">
        <v>757680</v>
      </c>
      <c r="E15" s="97">
        <v>378840</v>
      </c>
      <c r="F15" s="97">
        <v>476000</v>
      </c>
      <c r="G15" s="97">
        <v>952000</v>
      </c>
      <c r="H15" s="97">
        <v>797580</v>
      </c>
      <c r="I15" s="97">
        <v>798000</v>
      </c>
      <c r="J15" s="97">
        <v>584250</v>
      </c>
      <c r="K15" s="97">
        <v>613200</v>
      </c>
      <c r="L15" s="97">
        <v>386769</v>
      </c>
      <c r="M15" s="97">
        <v>391134</v>
      </c>
      <c r="N15" s="97">
        <v>633891</v>
      </c>
    </row>
    <row r="16" spans="1:14" ht="17.5">
      <c r="A16" s="258" t="s">
        <v>51</v>
      </c>
      <c r="B16" s="254">
        <f t="shared" si="0"/>
        <v>7317581.5</v>
      </c>
      <c r="C16" s="97">
        <v>373680</v>
      </c>
      <c r="D16" s="97">
        <v>757680</v>
      </c>
      <c r="E16" s="97">
        <v>757680</v>
      </c>
      <c r="F16" s="97">
        <v>604520</v>
      </c>
      <c r="G16" s="97">
        <v>952000</v>
      </c>
      <c r="H16" s="97">
        <v>743680</v>
      </c>
      <c r="I16" s="97">
        <v>798000</v>
      </c>
      <c r="J16" s="97">
        <v>682855.5</v>
      </c>
      <c r="K16" s="97">
        <v>501200</v>
      </c>
      <c r="L16" s="97">
        <v>277600</v>
      </c>
      <c r="M16" s="97">
        <v>401709</v>
      </c>
      <c r="N16" s="97">
        <v>466977</v>
      </c>
    </row>
    <row r="17" spans="1:14" ht="17.5">
      <c r="A17" s="257" t="s">
        <v>53</v>
      </c>
      <c r="B17" s="254">
        <f t="shared" si="0"/>
        <v>6672924.5</v>
      </c>
      <c r="C17" s="97">
        <v>374760</v>
      </c>
      <c r="D17" s="97">
        <v>757680</v>
      </c>
      <c r="E17" s="97">
        <v>757680</v>
      </c>
      <c r="F17" s="97">
        <v>351848</v>
      </c>
      <c r="G17" s="97">
        <v>476000</v>
      </c>
      <c r="H17" s="97">
        <v>798924</v>
      </c>
      <c r="I17" s="97">
        <v>798000</v>
      </c>
      <c r="J17" s="97">
        <v>605515.5</v>
      </c>
      <c r="K17" s="97">
        <v>417200</v>
      </c>
      <c r="L17" s="97">
        <v>382274</v>
      </c>
      <c r="M17" s="97">
        <v>494709</v>
      </c>
      <c r="N17" s="97">
        <v>458334</v>
      </c>
    </row>
    <row r="18" spans="1:14" ht="17.5">
      <c r="A18" s="258" t="s">
        <v>55</v>
      </c>
      <c r="B18" s="254">
        <f t="shared" si="0"/>
        <v>6001498.5</v>
      </c>
      <c r="C18" s="97">
        <v>379080</v>
      </c>
      <c r="D18" s="97">
        <v>0</v>
      </c>
      <c r="E18" s="97">
        <v>1131600</v>
      </c>
      <c r="F18" s="97">
        <v>0</v>
      </c>
      <c r="G18" s="97">
        <v>0</v>
      </c>
      <c r="H18" s="97">
        <v>422000</v>
      </c>
      <c r="I18" s="97">
        <v>686000</v>
      </c>
      <c r="J18" s="97">
        <v>602269.5</v>
      </c>
      <c r="K18" s="97">
        <v>765744</v>
      </c>
      <c r="L18" s="97">
        <v>511004</v>
      </c>
      <c r="M18" s="97">
        <v>869442</v>
      </c>
      <c r="N18" s="97">
        <v>634359</v>
      </c>
    </row>
    <row r="19" spans="1:14" ht="17.5">
      <c r="A19" s="259" t="s">
        <v>58</v>
      </c>
      <c r="B19" s="254">
        <f t="shared" si="0"/>
        <v>8593457</v>
      </c>
      <c r="C19" s="97">
        <v>380700</v>
      </c>
      <c r="D19" s="97">
        <v>757680</v>
      </c>
      <c r="E19" s="97">
        <v>1136520</v>
      </c>
      <c r="F19" s="97">
        <v>334068</v>
      </c>
      <c r="G19" s="97">
        <v>1372000</v>
      </c>
      <c r="H19" s="97">
        <v>751296</v>
      </c>
      <c r="I19" s="97">
        <v>798000</v>
      </c>
      <c r="J19" s="97">
        <v>828720</v>
      </c>
      <c r="K19" s="97">
        <v>501200</v>
      </c>
      <c r="L19" s="97">
        <v>386363</v>
      </c>
      <c r="M19" s="97">
        <v>879369</v>
      </c>
      <c r="N19" s="97">
        <v>467541</v>
      </c>
    </row>
    <row r="20" spans="1:14" ht="17.5">
      <c r="A20" s="258" t="s">
        <v>60</v>
      </c>
      <c r="B20" s="254">
        <f t="shared" si="0"/>
        <v>9013936</v>
      </c>
      <c r="C20" s="97">
        <v>761365</v>
      </c>
      <c r="D20" s="97">
        <v>757680</v>
      </c>
      <c r="E20" s="97">
        <v>1136520</v>
      </c>
      <c r="F20" s="97">
        <v>476000</v>
      </c>
      <c r="G20" s="97">
        <v>952000</v>
      </c>
      <c r="H20" s="97">
        <v>898000</v>
      </c>
      <c r="I20" s="97">
        <v>630000</v>
      </c>
      <c r="J20" s="97">
        <v>584250</v>
      </c>
      <c r="K20" s="97">
        <v>613200</v>
      </c>
      <c r="L20" s="97">
        <v>700775</v>
      </c>
      <c r="M20" s="97">
        <v>876327</v>
      </c>
      <c r="N20" s="97">
        <v>627819</v>
      </c>
    </row>
    <row r="21" spans="1:14" ht="17.5">
      <c r="A21" s="258" t="s">
        <v>62</v>
      </c>
      <c r="B21" s="254">
        <f t="shared" si="0"/>
        <v>8579159</v>
      </c>
      <c r="C21" s="97">
        <v>160000</v>
      </c>
      <c r="D21" s="97">
        <v>757680</v>
      </c>
      <c r="E21" s="97">
        <v>1136520</v>
      </c>
      <c r="F21" s="97">
        <v>362516</v>
      </c>
      <c r="G21" s="97">
        <v>1372000</v>
      </c>
      <c r="H21" s="97">
        <v>770336</v>
      </c>
      <c r="I21" s="97">
        <v>798000</v>
      </c>
      <c r="J21" s="97">
        <v>828546</v>
      </c>
      <c r="K21" s="97">
        <v>501200</v>
      </c>
      <c r="L21" s="97">
        <v>546153</v>
      </c>
      <c r="M21" s="97">
        <v>878784</v>
      </c>
      <c r="N21" s="97">
        <v>467424</v>
      </c>
    </row>
    <row r="22" spans="1:14" ht="17.5">
      <c r="A22" s="260" t="s">
        <v>64</v>
      </c>
      <c r="B22" s="254">
        <f t="shared" si="0"/>
        <v>7949795.5</v>
      </c>
      <c r="C22" s="97">
        <v>160000</v>
      </c>
      <c r="D22" s="97">
        <v>757680</v>
      </c>
      <c r="E22" s="97">
        <v>957432</v>
      </c>
      <c r="F22" s="97">
        <v>874272</v>
      </c>
      <c r="G22" s="97">
        <v>952000</v>
      </c>
      <c r="H22" s="97">
        <v>658000</v>
      </c>
      <c r="I22" s="97">
        <v>714000</v>
      </c>
      <c r="J22" s="97">
        <v>683725.5</v>
      </c>
      <c r="K22" s="97">
        <v>501200</v>
      </c>
      <c r="L22" s="97">
        <v>546578</v>
      </c>
      <c r="M22" s="97">
        <v>878784</v>
      </c>
      <c r="N22" s="97">
        <v>266124</v>
      </c>
    </row>
    <row r="23" spans="1:14" ht="17.5">
      <c r="A23" s="258" t="s">
        <v>56</v>
      </c>
      <c r="B23" s="254">
        <f t="shared" si="0"/>
        <v>378840</v>
      </c>
      <c r="C23" s="97">
        <v>0</v>
      </c>
      <c r="D23" s="97">
        <v>378840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0</v>
      </c>
      <c r="K23" s="97">
        <v>0</v>
      </c>
      <c r="L23" s="97">
        <v>0</v>
      </c>
      <c r="M23" s="97">
        <v>0</v>
      </c>
      <c r="N23" s="97">
        <v>0</v>
      </c>
    </row>
    <row r="24" spans="1:14" ht="18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20">
      <c r="A25" s="21"/>
      <c r="B25" s="38">
        <f>SUM(B3:B22)</f>
        <v>119425843.5</v>
      </c>
      <c r="C25" s="38">
        <f>SUM(C3:C22)</f>
        <v>6451979</v>
      </c>
      <c r="D25" s="38">
        <f>SUM(D3:D22)</f>
        <v>10079310</v>
      </c>
      <c r="E25" s="38">
        <f>SUM(E3:E22)</f>
        <v>13431308</v>
      </c>
      <c r="F25" s="38">
        <f>SUM(F3:F22)</f>
        <v>7402880</v>
      </c>
      <c r="G25" s="38">
        <v>13982300</v>
      </c>
      <c r="H25" s="38">
        <f t="shared" ref="H25:N25" si="1">SUM(H3:H22)</f>
        <v>10161402</v>
      </c>
      <c r="I25" s="38">
        <f t="shared" si="1"/>
        <v>10469300</v>
      </c>
      <c r="J25" s="38">
        <f t="shared" si="1"/>
        <v>10119926.5</v>
      </c>
      <c r="K25" s="38">
        <f t="shared" si="1"/>
        <v>10044664</v>
      </c>
      <c r="L25" s="38">
        <f t="shared" si="1"/>
        <v>7396577</v>
      </c>
      <c r="M25" s="38">
        <f t="shared" si="1"/>
        <v>10813538</v>
      </c>
      <c r="N25" s="38">
        <f t="shared" si="1"/>
        <v>9072659</v>
      </c>
    </row>
    <row r="26" spans="1:14" ht="20.5" thickBot="1">
      <c r="A26" s="41"/>
      <c r="B26" s="56">
        <f>AVERAGE(B6:B22)</f>
        <v>7025049.6176470593</v>
      </c>
      <c r="C26" s="56">
        <f>AVERAGE(C6:C22)</f>
        <v>379528.17647058825</v>
      </c>
      <c r="D26" s="56">
        <f>AVERAGE(D6:D23)</f>
        <v>581008.33333333337</v>
      </c>
      <c r="E26" s="56">
        <f>AVERAGE(E6:E22)</f>
        <v>790076.9411764706</v>
      </c>
      <c r="F26" s="56">
        <f>AVERAGE(F6:F22)</f>
        <v>435463.5294117647</v>
      </c>
      <c r="G26" s="56">
        <v>822488.23529411759</v>
      </c>
      <c r="H26" s="56">
        <f t="shared" ref="H26:N26" si="2">AVERAGE(H6:H22)</f>
        <v>597729.5294117647</v>
      </c>
      <c r="I26" s="56">
        <f t="shared" si="2"/>
        <v>615841.17647058819</v>
      </c>
      <c r="J26" s="56">
        <f t="shared" si="2"/>
        <v>595289.79411764711</v>
      </c>
      <c r="K26" s="56">
        <f t="shared" si="2"/>
        <v>590862.5882352941</v>
      </c>
      <c r="L26" s="56">
        <f t="shared" si="2"/>
        <v>435092.76470588235</v>
      </c>
      <c r="M26" s="56">
        <f t="shared" si="2"/>
        <v>636090.4705882353</v>
      </c>
      <c r="N26" s="56">
        <f t="shared" si="2"/>
        <v>533685.82352941181</v>
      </c>
    </row>
    <row r="27" spans="1:14" ht="18" thickBot="1">
      <c r="A27" s="76"/>
      <c r="B27" s="88"/>
      <c r="C27" s="256">
        <f>C25/15000000</f>
        <v>0.43013193333333333</v>
      </c>
      <c r="D27" s="256">
        <f t="shared" ref="D27:N27" si="3">D25/15000000</f>
        <v>0.67195400000000005</v>
      </c>
      <c r="E27" s="256">
        <f t="shared" si="3"/>
        <v>0.89542053333333338</v>
      </c>
      <c r="F27" s="256">
        <f t="shared" si="3"/>
        <v>0.49352533333333332</v>
      </c>
      <c r="G27" s="256">
        <f t="shared" si="3"/>
        <v>0.93215333333333328</v>
      </c>
      <c r="H27" s="256">
        <f t="shared" si="3"/>
        <v>0.6774268</v>
      </c>
      <c r="I27" s="256">
        <f t="shared" si="3"/>
        <v>0.69795333333333331</v>
      </c>
      <c r="J27" s="256">
        <f t="shared" si="3"/>
        <v>0.67466176666666666</v>
      </c>
      <c r="K27" s="256">
        <f t="shared" si="3"/>
        <v>0.66964426666666665</v>
      </c>
      <c r="L27" s="256">
        <f t="shared" si="3"/>
        <v>0.49310513333333333</v>
      </c>
      <c r="M27" s="256">
        <f t="shared" si="3"/>
        <v>0.72090253333333332</v>
      </c>
      <c r="N27" s="256">
        <f t="shared" si="3"/>
        <v>0.60484393333333331</v>
      </c>
    </row>
    <row r="28" spans="1:14">
      <c r="B28" t="s">
        <v>167</v>
      </c>
    </row>
  </sheetData>
  <mergeCells count="1">
    <mergeCell ref="B1:N1"/>
  </mergeCells>
  <conditionalFormatting sqref="A8">
    <cfRule type="duplicateValues" dxfId="276" priority="4"/>
  </conditionalFormatting>
  <conditionalFormatting sqref="A10 A7">
    <cfRule type="duplicateValues" dxfId="275" priority="5"/>
  </conditionalFormatting>
  <conditionalFormatting sqref="A11">
    <cfRule type="duplicateValues" dxfId="274" priority="2"/>
  </conditionalFormatting>
  <conditionalFormatting sqref="A13">
    <cfRule type="duplicateValues" dxfId="273" priority="1"/>
  </conditionalFormatting>
  <conditionalFormatting sqref="A14">
    <cfRule type="duplicateValues" dxfId="272" priority="3"/>
  </conditionalFormatting>
  <conditionalFormatting sqref="A16:A17 A12">
    <cfRule type="duplicateValues" dxfId="271" priority="7"/>
  </conditionalFormatting>
  <conditionalFormatting sqref="A23 A18:A20">
    <cfRule type="duplicateValues" dxfId="270" priority="6"/>
  </conditionalFormatting>
  <conditionalFormatting sqref="A24 A22 A15 A9 A3:A6">
    <cfRule type="duplicateValues" dxfId="269" priority="8"/>
  </conditionalFormatting>
  <conditionalFormatting sqref="A25">
    <cfRule type="duplicateValues" dxfId="268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B850-A8CA-4A82-8EA8-B73F996A6921}">
  <dimension ref="A1:DM31"/>
  <sheetViews>
    <sheetView zoomScale="82" zoomScaleNormal="82" workbookViewId="0">
      <pane xSplit="2" ySplit="24" topLeftCell="F25" activePane="bottomRight" state="frozen"/>
      <selection pane="topRight" activeCell="C1" sqref="C1"/>
      <selection pane="bottomLeft" activeCell="A25" sqref="A25"/>
      <selection pane="bottomRight" activeCell="T15" sqref="T15"/>
    </sheetView>
  </sheetViews>
  <sheetFormatPr defaultColWidth="12.36328125" defaultRowHeight="18"/>
  <cols>
    <col min="1" max="1" width="6.7265625" style="156" customWidth="1"/>
    <col min="2" max="2" width="35.36328125" style="156" bestFit="1" customWidth="1"/>
    <col min="3" max="3" width="14.08984375" style="156" customWidth="1"/>
    <col min="4" max="6" width="15.36328125" style="156" bestFit="1" customWidth="1"/>
    <col min="7" max="7" width="16.7265625" style="156" bestFit="1" customWidth="1"/>
    <col min="8" max="9" width="16.26953125" style="156" bestFit="1" customWidth="1"/>
    <col min="10" max="11" width="15.36328125" style="156" bestFit="1" customWidth="1"/>
    <col min="12" max="12" width="15.36328125" style="156" customWidth="1"/>
    <col min="13" max="13" width="16.36328125" style="156" bestFit="1" customWidth="1"/>
    <col min="14" max="14" width="15.36328125" style="156" customWidth="1"/>
    <col min="15" max="15" width="15" style="156" bestFit="1" customWidth="1"/>
    <col min="16" max="16" width="17.6328125" style="156" bestFit="1" customWidth="1"/>
    <col min="17" max="17" width="18.81640625" style="156" bestFit="1" customWidth="1"/>
    <col min="18" max="18" width="17.7265625" style="156" bestFit="1" customWidth="1"/>
    <col min="19" max="19" width="1.81640625" style="156" customWidth="1"/>
    <col min="20" max="20" width="32" style="128" customWidth="1"/>
    <col min="21" max="16384" width="12.36328125" style="156"/>
  </cols>
  <sheetData>
    <row r="1" spans="1:20" s="128" customFormat="1" ht="35">
      <c r="A1" s="355" t="s">
        <v>85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</row>
    <row r="2" spans="1:20" s="128" customFormat="1" ht="35.5" thickBot="1">
      <c r="A2" s="129" t="s">
        <v>152</v>
      </c>
      <c r="B2" s="130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</row>
    <row r="3" spans="1:20" s="136" customFormat="1" ht="36">
      <c r="A3" s="132" t="s">
        <v>3</v>
      </c>
      <c r="B3" s="133" t="s">
        <v>86</v>
      </c>
      <c r="C3" s="134">
        <v>44927</v>
      </c>
      <c r="D3" s="134">
        <v>44958</v>
      </c>
      <c r="E3" s="134">
        <v>44986</v>
      </c>
      <c r="F3" s="134">
        <v>45017</v>
      </c>
      <c r="G3" s="134">
        <v>45047</v>
      </c>
      <c r="H3" s="134">
        <v>45078</v>
      </c>
      <c r="I3" s="134">
        <v>45108</v>
      </c>
      <c r="J3" s="134">
        <v>45139</v>
      </c>
      <c r="K3" s="134">
        <v>45170</v>
      </c>
      <c r="L3" s="134">
        <v>45200</v>
      </c>
      <c r="M3" s="134">
        <v>45231</v>
      </c>
      <c r="N3" s="134">
        <v>45261</v>
      </c>
      <c r="O3" s="135" t="s">
        <v>87</v>
      </c>
      <c r="P3" s="134" t="s">
        <v>88</v>
      </c>
      <c r="Q3" s="134" t="s">
        <v>89</v>
      </c>
      <c r="R3" s="133" t="s">
        <v>168</v>
      </c>
      <c r="T3" s="137" t="s">
        <v>91</v>
      </c>
    </row>
    <row r="4" spans="1:20" s="145" customFormat="1">
      <c r="A4" s="138">
        <v>1</v>
      </c>
      <c r="B4" s="139" t="s">
        <v>92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1">
        <f>AVERAGE(C4:N4)</f>
        <v>0</v>
      </c>
      <c r="P4" s="248">
        <f>R4/Q4</f>
        <v>0</v>
      </c>
      <c r="Q4" s="140">
        <v>120000</v>
      </c>
      <c r="R4" s="142">
        <f>SUM(C4:N4)</f>
        <v>0</v>
      </c>
      <c r="S4" s="143"/>
      <c r="T4" s="144">
        <f>R4</f>
        <v>0</v>
      </c>
    </row>
    <row r="5" spans="1:20" s="145" customFormat="1">
      <c r="A5" s="138">
        <v>2</v>
      </c>
      <c r="B5" s="146" t="s">
        <v>93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1">
        <f t="shared" ref="O5:O23" si="0">AVERAGE(C5:N5)</f>
        <v>0</v>
      </c>
      <c r="P5" s="248">
        <f t="shared" ref="P5:P25" si="1">R5/Q5</f>
        <v>0</v>
      </c>
      <c r="Q5" s="140">
        <v>120000</v>
      </c>
      <c r="R5" s="142">
        <f t="shared" ref="R5:R23" si="2">SUM(C5:N5)</f>
        <v>0</v>
      </c>
      <c r="S5" s="143"/>
      <c r="T5" s="144">
        <f t="shared" ref="T5:T25" si="3">R5</f>
        <v>0</v>
      </c>
    </row>
    <row r="6" spans="1:20" s="145" customFormat="1">
      <c r="A6" s="138">
        <v>3</v>
      </c>
      <c r="B6" s="147" t="s">
        <v>94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1">
        <f t="shared" si="0"/>
        <v>0</v>
      </c>
      <c r="P6" s="248">
        <f t="shared" si="1"/>
        <v>0</v>
      </c>
      <c r="Q6" s="140">
        <v>120000</v>
      </c>
      <c r="R6" s="142">
        <f t="shared" si="2"/>
        <v>0</v>
      </c>
      <c r="S6" s="143"/>
      <c r="T6" s="144">
        <f t="shared" si="3"/>
        <v>0</v>
      </c>
    </row>
    <row r="7" spans="1:20" s="145" customFormat="1">
      <c r="A7" s="138">
        <v>4</v>
      </c>
      <c r="B7" s="148" t="s">
        <v>95</v>
      </c>
      <c r="C7" s="140">
        <v>4132</v>
      </c>
      <c r="D7" s="140">
        <v>1757</v>
      </c>
      <c r="E7" s="140">
        <v>2927</v>
      </c>
      <c r="F7" s="140">
        <v>4522</v>
      </c>
      <c r="G7" s="140">
        <v>1858</v>
      </c>
      <c r="H7" s="140">
        <v>4545</v>
      </c>
      <c r="I7" s="140">
        <v>2349</v>
      </c>
      <c r="J7" s="140">
        <v>2429</v>
      </c>
      <c r="K7" s="140">
        <v>2905</v>
      </c>
      <c r="L7" s="140">
        <v>2727</v>
      </c>
      <c r="M7" s="140">
        <v>1029</v>
      </c>
      <c r="N7" s="140">
        <v>5006</v>
      </c>
      <c r="O7" s="141">
        <f t="shared" si="0"/>
        <v>3015.5</v>
      </c>
      <c r="P7" s="248">
        <f t="shared" si="1"/>
        <v>0.30154999999999998</v>
      </c>
      <c r="Q7" s="140">
        <v>120000</v>
      </c>
      <c r="R7" s="142">
        <f>SUM(C7:N7)</f>
        <v>36186</v>
      </c>
      <c r="S7" s="143"/>
      <c r="T7" s="144">
        <f t="shared" si="3"/>
        <v>36186</v>
      </c>
    </row>
    <row r="8" spans="1:20" s="145" customFormat="1">
      <c r="A8" s="138">
        <v>5</v>
      </c>
      <c r="B8" s="148" t="s">
        <v>96</v>
      </c>
      <c r="C8" s="140">
        <v>5199</v>
      </c>
      <c r="D8" s="140">
        <v>1839</v>
      </c>
      <c r="E8" s="140">
        <v>3715</v>
      </c>
      <c r="F8" s="140">
        <v>5607</v>
      </c>
      <c r="G8" s="140">
        <v>5934</v>
      </c>
      <c r="H8" s="140">
        <v>7727</v>
      </c>
      <c r="I8" s="140">
        <v>3695</v>
      </c>
      <c r="J8" s="140">
        <v>3616</v>
      </c>
      <c r="K8" s="140">
        <v>4739</v>
      </c>
      <c r="L8" s="140">
        <v>4416</v>
      </c>
      <c r="M8" s="140">
        <v>1594</v>
      </c>
      <c r="N8" s="140">
        <v>5548</v>
      </c>
      <c r="O8" s="141">
        <f t="shared" si="0"/>
        <v>4469.083333333333</v>
      </c>
      <c r="P8" s="248">
        <f t="shared" si="1"/>
        <v>0.44690833333333335</v>
      </c>
      <c r="Q8" s="140">
        <v>120000</v>
      </c>
      <c r="R8" s="142">
        <f t="shared" si="2"/>
        <v>53629</v>
      </c>
      <c r="S8" s="143"/>
      <c r="T8" s="144">
        <f t="shared" si="3"/>
        <v>53629</v>
      </c>
    </row>
    <row r="9" spans="1:20" s="145" customFormat="1">
      <c r="A9" s="138">
        <v>6</v>
      </c>
      <c r="B9" s="146" t="s">
        <v>97</v>
      </c>
      <c r="C9" s="140">
        <v>1098</v>
      </c>
      <c r="D9" s="140">
        <v>3793</v>
      </c>
      <c r="E9" s="140">
        <v>4717</v>
      </c>
      <c r="F9" s="140">
        <v>4925</v>
      </c>
      <c r="G9" s="140">
        <v>471</v>
      </c>
      <c r="H9" s="140">
        <v>0</v>
      </c>
      <c r="I9" s="140">
        <v>1</v>
      </c>
      <c r="J9" s="140">
        <v>39</v>
      </c>
      <c r="K9" s="140">
        <v>2850</v>
      </c>
      <c r="L9" s="140">
        <v>2925</v>
      </c>
      <c r="M9" s="140">
        <v>1639</v>
      </c>
      <c r="N9" s="140">
        <v>3652</v>
      </c>
      <c r="O9" s="141">
        <f t="shared" si="0"/>
        <v>2175.8333333333335</v>
      </c>
      <c r="P9" s="248">
        <f t="shared" si="1"/>
        <v>0.21758333333333332</v>
      </c>
      <c r="Q9" s="140">
        <v>120000</v>
      </c>
      <c r="R9" s="142">
        <f t="shared" si="2"/>
        <v>26110</v>
      </c>
      <c r="S9" s="143"/>
      <c r="T9" s="144">
        <f t="shared" si="3"/>
        <v>26110</v>
      </c>
    </row>
    <row r="10" spans="1:20" s="145" customFormat="1">
      <c r="A10" s="138">
        <v>7</v>
      </c>
      <c r="B10" s="148" t="s">
        <v>98</v>
      </c>
      <c r="C10" s="140">
        <v>4287</v>
      </c>
      <c r="D10" s="140">
        <v>6631</v>
      </c>
      <c r="E10" s="140">
        <v>6687</v>
      </c>
      <c r="F10" s="140">
        <v>2013</v>
      </c>
      <c r="G10" s="140">
        <v>7344</v>
      </c>
      <c r="H10" s="140">
        <v>4094</v>
      </c>
      <c r="I10" s="140">
        <v>4243</v>
      </c>
      <c r="J10" s="140">
        <v>5635</v>
      </c>
      <c r="K10" s="140">
        <v>5090</v>
      </c>
      <c r="L10" s="140">
        <v>3810</v>
      </c>
      <c r="M10" s="140">
        <v>3414</v>
      </c>
      <c r="N10" s="140">
        <v>4339</v>
      </c>
      <c r="O10" s="141">
        <f t="shared" si="0"/>
        <v>4798.916666666667</v>
      </c>
      <c r="P10" s="248">
        <f t="shared" si="1"/>
        <v>0.47989166666666666</v>
      </c>
      <c r="Q10" s="140">
        <v>120000</v>
      </c>
      <c r="R10" s="142">
        <f t="shared" si="2"/>
        <v>57587</v>
      </c>
      <c r="S10" s="143"/>
      <c r="T10" s="144">
        <f t="shared" si="3"/>
        <v>57587</v>
      </c>
    </row>
    <row r="11" spans="1:20" s="145" customFormat="1">
      <c r="A11" s="138">
        <v>8</v>
      </c>
      <c r="B11" s="148" t="s">
        <v>99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1429</v>
      </c>
      <c r="J11" s="140">
        <v>6017</v>
      </c>
      <c r="K11" s="140">
        <v>5057</v>
      </c>
      <c r="L11" s="140">
        <v>2278</v>
      </c>
      <c r="M11" s="140">
        <v>4009</v>
      </c>
      <c r="N11" s="140">
        <v>4417</v>
      </c>
      <c r="O11" s="141">
        <f t="shared" si="0"/>
        <v>1933.9166666666667</v>
      </c>
      <c r="P11" s="248">
        <f t="shared" si="1"/>
        <v>0.19339166666666666</v>
      </c>
      <c r="Q11" s="140">
        <v>120000</v>
      </c>
      <c r="R11" s="142">
        <f t="shared" si="2"/>
        <v>23207</v>
      </c>
      <c r="S11" s="143"/>
      <c r="T11" s="144">
        <f t="shared" si="3"/>
        <v>23207</v>
      </c>
    </row>
    <row r="12" spans="1:20" s="145" customFormat="1">
      <c r="A12" s="138">
        <v>9</v>
      </c>
      <c r="B12" s="148" t="s">
        <v>100</v>
      </c>
      <c r="C12" s="140">
        <v>3876</v>
      </c>
      <c r="D12" s="140">
        <v>6990</v>
      </c>
      <c r="E12" s="140">
        <v>4329</v>
      </c>
      <c r="F12" s="140">
        <v>5151</v>
      </c>
      <c r="G12" s="140">
        <v>3028</v>
      </c>
      <c r="H12" s="140">
        <v>3607</v>
      </c>
      <c r="I12" s="140">
        <v>4537</v>
      </c>
      <c r="J12" s="140">
        <v>4212</v>
      </c>
      <c r="K12" s="140">
        <v>5008</v>
      </c>
      <c r="L12" s="140">
        <v>3725</v>
      </c>
      <c r="M12" s="140">
        <v>3792</v>
      </c>
      <c r="N12" s="140">
        <v>3397</v>
      </c>
      <c r="O12" s="141">
        <f t="shared" si="0"/>
        <v>4304.333333333333</v>
      </c>
      <c r="P12" s="248">
        <f t="shared" si="1"/>
        <v>0.43043333333333333</v>
      </c>
      <c r="Q12" s="140">
        <v>120000</v>
      </c>
      <c r="R12" s="142">
        <f t="shared" si="2"/>
        <v>51652</v>
      </c>
      <c r="S12" s="143"/>
      <c r="T12" s="144">
        <f t="shared" si="3"/>
        <v>51652</v>
      </c>
    </row>
    <row r="13" spans="1:20" s="145" customFormat="1">
      <c r="A13" s="138">
        <v>10</v>
      </c>
      <c r="B13" s="149" t="s">
        <v>101</v>
      </c>
      <c r="C13" s="140">
        <v>2306</v>
      </c>
      <c r="D13" s="140">
        <v>6995</v>
      </c>
      <c r="E13" s="140">
        <v>6450</v>
      </c>
      <c r="F13" s="140">
        <v>3880</v>
      </c>
      <c r="G13" s="140">
        <v>3331</v>
      </c>
      <c r="H13" s="140">
        <v>3638</v>
      </c>
      <c r="I13" s="140">
        <v>3851</v>
      </c>
      <c r="J13" s="140">
        <v>3674</v>
      </c>
      <c r="K13" s="140">
        <v>4987</v>
      </c>
      <c r="L13" s="140">
        <v>1892</v>
      </c>
      <c r="M13" s="140">
        <v>4339</v>
      </c>
      <c r="N13" s="140">
        <v>3224</v>
      </c>
      <c r="O13" s="141">
        <f t="shared" si="0"/>
        <v>4047.25</v>
      </c>
      <c r="P13" s="248">
        <f t="shared" si="1"/>
        <v>0.404725</v>
      </c>
      <c r="Q13" s="140">
        <v>120000</v>
      </c>
      <c r="R13" s="142">
        <f t="shared" si="2"/>
        <v>48567</v>
      </c>
      <c r="S13" s="143"/>
      <c r="T13" s="144">
        <f t="shared" si="3"/>
        <v>48567</v>
      </c>
    </row>
    <row r="14" spans="1:20" s="145" customFormat="1">
      <c r="A14" s="138">
        <v>11</v>
      </c>
      <c r="B14" s="146" t="s">
        <v>102</v>
      </c>
      <c r="C14" s="140">
        <v>7193</v>
      </c>
      <c r="D14" s="140">
        <v>7494</v>
      </c>
      <c r="E14" s="140">
        <v>7952</v>
      </c>
      <c r="F14" s="140">
        <v>2008</v>
      </c>
      <c r="G14" s="140">
        <v>6364</v>
      </c>
      <c r="H14" s="140">
        <v>4656</v>
      </c>
      <c r="I14" s="140">
        <v>157</v>
      </c>
      <c r="J14" s="140">
        <v>4649</v>
      </c>
      <c r="K14" s="140">
        <v>5218</v>
      </c>
      <c r="L14" s="140">
        <v>3062</v>
      </c>
      <c r="M14" s="140">
        <v>4158</v>
      </c>
      <c r="N14" s="140">
        <v>3427</v>
      </c>
      <c r="O14" s="141">
        <f t="shared" si="0"/>
        <v>4694.833333333333</v>
      </c>
      <c r="P14" s="248">
        <f t="shared" si="1"/>
        <v>0.46948333333333331</v>
      </c>
      <c r="Q14" s="140">
        <v>120000</v>
      </c>
      <c r="R14" s="142">
        <f t="shared" si="2"/>
        <v>56338</v>
      </c>
      <c r="S14" s="143"/>
      <c r="T14" s="144">
        <f t="shared" si="3"/>
        <v>56338</v>
      </c>
    </row>
    <row r="15" spans="1:20" s="145" customFormat="1">
      <c r="A15" s="138">
        <v>12</v>
      </c>
      <c r="B15" s="148" t="s">
        <v>103</v>
      </c>
      <c r="C15" s="140">
        <v>7558</v>
      </c>
      <c r="D15" s="140">
        <v>3821</v>
      </c>
      <c r="E15" s="140">
        <v>7945</v>
      </c>
      <c r="F15" s="140">
        <v>4058</v>
      </c>
      <c r="G15" s="140">
        <v>6599</v>
      </c>
      <c r="H15" s="140">
        <v>5493</v>
      </c>
      <c r="I15" s="140">
        <v>4801</v>
      </c>
      <c r="J15" s="140">
        <v>4840</v>
      </c>
      <c r="K15" s="140">
        <v>5616</v>
      </c>
      <c r="L15" s="140">
        <v>4307</v>
      </c>
      <c r="M15" s="140">
        <v>4101</v>
      </c>
      <c r="N15" s="140">
        <v>5316</v>
      </c>
      <c r="O15" s="141">
        <f t="shared" si="0"/>
        <v>5371.25</v>
      </c>
      <c r="P15" s="248">
        <f t="shared" si="1"/>
        <v>0.53712499999999996</v>
      </c>
      <c r="Q15" s="140">
        <v>120000</v>
      </c>
      <c r="R15" s="142">
        <f t="shared" si="2"/>
        <v>64455</v>
      </c>
      <c r="S15" s="143"/>
      <c r="T15" s="144">
        <f t="shared" si="3"/>
        <v>64455</v>
      </c>
    </row>
    <row r="16" spans="1:20" s="145" customFormat="1">
      <c r="A16" s="138">
        <v>13</v>
      </c>
      <c r="B16" s="148" t="s">
        <v>104</v>
      </c>
      <c r="C16" s="140">
        <v>2944</v>
      </c>
      <c r="D16" s="140">
        <v>7421</v>
      </c>
      <c r="E16" s="140">
        <v>4581</v>
      </c>
      <c r="F16" s="140">
        <v>2738</v>
      </c>
      <c r="G16" s="140">
        <v>6552</v>
      </c>
      <c r="H16" s="140">
        <v>3278</v>
      </c>
      <c r="I16" s="140">
        <v>4192</v>
      </c>
      <c r="J16" s="140">
        <v>5608</v>
      </c>
      <c r="K16" s="140">
        <v>4668</v>
      </c>
      <c r="L16" s="140">
        <v>2112</v>
      </c>
      <c r="M16" s="140">
        <v>3025</v>
      </c>
      <c r="N16" s="140">
        <v>3911</v>
      </c>
      <c r="O16" s="141">
        <f t="shared" si="0"/>
        <v>4252.5</v>
      </c>
      <c r="P16" s="248">
        <f t="shared" si="1"/>
        <v>0.42525000000000002</v>
      </c>
      <c r="Q16" s="140">
        <v>120000</v>
      </c>
      <c r="R16" s="142">
        <f t="shared" si="2"/>
        <v>51030</v>
      </c>
      <c r="S16" s="143"/>
      <c r="T16" s="144">
        <f t="shared" si="3"/>
        <v>51030</v>
      </c>
    </row>
    <row r="17" spans="1:117" s="145" customFormat="1">
      <c r="A17" s="138">
        <v>14</v>
      </c>
      <c r="B17" s="148" t="s">
        <v>105</v>
      </c>
      <c r="C17" s="140">
        <v>3586</v>
      </c>
      <c r="D17" s="140">
        <v>7783</v>
      </c>
      <c r="E17" s="140">
        <v>5648</v>
      </c>
      <c r="F17" s="140">
        <v>3943</v>
      </c>
      <c r="G17" s="140">
        <v>2980</v>
      </c>
      <c r="H17" s="140">
        <v>3460</v>
      </c>
      <c r="I17" s="140">
        <v>4825</v>
      </c>
      <c r="J17" s="140">
        <v>4832</v>
      </c>
      <c r="K17" s="140">
        <v>4942</v>
      </c>
      <c r="L17" s="140">
        <v>2493</v>
      </c>
      <c r="M17" s="140">
        <v>1839</v>
      </c>
      <c r="N17" s="140">
        <v>3825</v>
      </c>
      <c r="O17" s="141">
        <f t="shared" si="0"/>
        <v>4179.666666666667</v>
      </c>
      <c r="P17" s="248">
        <f t="shared" si="1"/>
        <v>0.41796666666666665</v>
      </c>
      <c r="Q17" s="140">
        <v>120000</v>
      </c>
      <c r="R17" s="142">
        <f t="shared" si="2"/>
        <v>50156</v>
      </c>
      <c r="S17" s="143"/>
      <c r="T17" s="144">
        <f t="shared" si="3"/>
        <v>50156</v>
      </c>
    </row>
    <row r="18" spans="1:117" s="145" customFormat="1">
      <c r="A18" s="138">
        <v>15</v>
      </c>
      <c r="B18" s="148" t="s">
        <v>106</v>
      </c>
      <c r="C18" s="140">
        <v>4567</v>
      </c>
      <c r="D18" s="140">
        <v>7521</v>
      </c>
      <c r="E18" s="140">
        <v>6607</v>
      </c>
      <c r="F18" s="140">
        <v>2630</v>
      </c>
      <c r="G18" s="140">
        <v>3545</v>
      </c>
      <c r="H18" s="140">
        <v>3725</v>
      </c>
      <c r="I18" s="140">
        <v>4731</v>
      </c>
      <c r="J18" s="140">
        <v>4116</v>
      </c>
      <c r="K18" s="140">
        <v>4895</v>
      </c>
      <c r="L18" s="140">
        <v>1964</v>
      </c>
      <c r="M18" s="140">
        <v>2206</v>
      </c>
      <c r="N18" s="140">
        <v>4008</v>
      </c>
      <c r="O18" s="141">
        <f t="shared" si="0"/>
        <v>4209.583333333333</v>
      </c>
      <c r="P18" s="248">
        <f t="shared" si="1"/>
        <v>0.42095833333333332</v>
      </c>
      <c r="Q18" s="140">
        <v>120000</v>
      </c>
      <c r="R18" s="142">
        <f t="shared" si="2"/>
        <v>50515</v>
      </c>
      <c r="S18" s="143"/>
      <c r="T18" s="144">
        <f t="shared" si="3"/>
        <v>50515</v>
      </c>
    </row>
    <row r="19" spans="1:117" s="145" customFormat="1">
      <c r="A19" s="138">
        <v>16</v>
      </c>
      <c r="B19" s="148" t="s">
        <v>107</v>
      </c>
      <c r="C19" s="140">
        <v>4806</v>
      </c>
      <c r="D19" s="140">
        <v>0</v>
      </c>
      <c r="E19" s="140">
        <v>2507</v>
      </c>
      <c r="F19" s="140">
        <v>342</v>
      </c>
      <c r="G19" s="140">
        <v>1956</v>
      </c>
      <c r="H19" s="140">
        <v>3733</v>
      </c>
      <c r="I19" s="140">
        <v>4254</v>
      </c>
      <c r="J19" s="140">
        <v>5052</v>
      </c>
      <c r="K19" s="140">
        <v>4841</v>
      </c>
      <c r="L19" s="140">
        <v>4822</v>
      </c>
      <c r="M19" s="140">
        <v>4024</v>
      </c>
      <c r="N19" s="140">
        <v>5479</v>
      </c>
      <c r="O19" s="141">
        <f t="shared" si="0"/>
        <v>3484.6666666666665</v>
      </c>
      <c r="P19" s="248">
        <f t="shared" si="1"/>
        <v>0.34846666666666665</v>
      </c>
      <c r="Q19" s="140">
        <v>120000</v>
      </c>
      <c r="R19" s="142">
        <f t="shared" si="2"/>
        <v>41816</v>
      </c>
      <c r="S19" s="143"/>
      <c r="T19" s="144">
        <f t="shared" si="3"/>
        <v>41816</v>
      </c>
    </row>
    <row r="20" spans="1:117" s="145" customFormat="1">
      <c r="A20" s="138">
        <v>18</v>
      </c>
      <c r="B20" s="148" t="s">
        <v>109</v>
      </c>
      <c r="C20" s="140">
        <v>4479</v>
      </c>
      <c r="D20" s="140">
        <v>7101</v>
      </c>
      <c r="E20" s="140">
        <v>7436</v>
      </c>
      <c r="F20" s="140">
        <v>3852</v>
      </c>
      <c r="G20" s="140">
        <v>6293</v>
      </c>
      <c r="H20" s="140">
        <v>4409</v>
      </c>
      <c r="I20" s="140">
        <v>4294</v>
      </c>
      <c r="J20" s="140">
        <v>5872</v>
      </c>
      <c r="K20" s="140">
        <v>5651</v>
      </c>
      <c r="L20" s="140">
        <v>3304</v>
      </c>
      <c r="M20" s="140">
        <v>4114</v>
      </c>
      <c r="N20" s="140">
        <v>3952</v>
      </c>
      <c r="O20" s="141">
        <f t="shared" si="0"/>
        <v>5063.083333333333</v>
      </c>
      <c r="P20" s="248">
        <f t="shared" si="1"/>
        <v>0.50630833333333336</v>
      </c>
      <c r="Q20" s="140">
        <v>120000</v>
      </c>
      <c r="R20" s="142">
        <f t="shared" si="2"/>
        <v>60757</v>
      </c>
      <c r="S20" s="143"/>
      <c r="T20" s="144">
        <f t="shared" si="3"/>
        <v>60757</v>
      </c>
    </row>
    <row r="21" spans="1:117" s="145" customFormat="1">
      <c r="A21" s="138">
        <v>19</v>
      </c>
      <c r="B21" s="147" t="s">
        <v>110</v>
      </c>
      <c r="C21" s="140">
        <v>7320</v>
      </c>
      <c r="D21" s="140">
        <v>7288</v>
      </c>
      <c r="E21" s="140">
        <v>7961</v>
      </c>
      <c r="F21" s="140">
        <v>2691</v>
      </c>
      <c r="G21" s="140">
        <v>5871</v>
      </c>
      <c r="H21" s="140">
        <v>5190</v>
      </c>
      <c r="I21" s="140">
        <v>4140</v>
      </c>
      <c r="J21" s="140">
        <v>5086</v>
      </c>
      <c r="K21" s="140">
        <v>4822</v>
      </c>
      <c r="L21" s="140">
        <v>3419</v>
      </c>
      <c r="M21" s="140">
        <v>4261</v>
      </c>
      <c r="N21" s="140">
        <v>5237</v>
      </c>
      <c r="O21" s="141">
        <f t="shared" si="0"/>
        <v>5273.833333333333</v>
      </c>
      <c r="P21" s="248">
        <f t="shared" si="1"/>
        <v>0.52738333333333332</v>
      </c>
      <c r="Q21" s="140">
        <v>120000</v>
      </c>
      <c r="R21" s="142">
        <f t="shared" si="2"/>
        <v>63286</v>
      </c>
      <c r="S21" s="143"/>
      <c r="T21" s="144">
        <f t="shared" si="3"/>
        <v>63286</v>
      </c>
    </row>
    <row r="22" spans="1:117" s="145" customFormat="1">
      <c r="A22" s="138">
        <v>20</v>
      </c>
      <c r="B22" s="148" t="s">
        <v>111</v>
      </c>
      <c r="C22" s="140">
        <v>2241</v>
      </c>
      <c r="D22" s="140">
        <v>7204</v>
      </c>
      <c r="E22" s="140">
        <v>7936</v>
      </c>
      <c r="F22" s="140">
        <v>3797</v>
      </c>
      <c r="G22" s="140">
        <v>7103</v>
      </c>
      <c r="H22" s="140">
        <v>4210</v>
      </c>
      <c r="I22" s="140">
        <v>4450</v>
      </c>
      <c r="J22" s="140">
        <v>5970</v>
      </c>
      <c r="K22" s="140">
        <v>5353</v>
      </c>
      <c r="L22" s="140">
        <v>2845</v>
      </c>
      <c r="M22" s="140">
        <v>4047</v>
      </c>
      <c r="N22" s="140">
        <v>5366</v>
      </c>
      <c r="O22" s="141">
        <f t="shared" si="0"/>
        <v>5043.5</v>
      </c>
      <c r="P22" s="248">
        <f t="shared" si="1"/>
        <v>0.50434999999999997</v>
      </c>
      <c r="Q22" s="140">
        <v>120000</v>
      </c>
      <c r="R22" s="142">
        <f t="shared" si="2"/>
        <v>60522</v>
      </c>
      <c r="S22" s="143"/>
      <c r="T22" s="144">
        <f t="shared" si="3"/>
        <v>60522</v>
      </c>
    </row>
    <row r="23" spans="1:117" s="145" customFormat="1">
      <c r="A23" s="138">
        <v>21</v>
      </c>
      <c r="B23" s="139" t="s">
        <v>112</v>
      </c>
      <c r="C23" s="140">
        <v>2236</v>
      </c>
      <c r="D23" s="140">
        <v>7198</v>
      </c>
      <c r="E23" s="140">
        <v>6503</v>
      </c>
      <c r="F23" s="140">
        <v>5633</v>
      </c>
      <c r="G23" s="140">
        <v>6212</v>
      </c>
      <c r="H23" s="140">
        <v>3406</v>
      </c>
      <c r="I23" s="140">
        <v>4790</v>
      </c>
      <c r="J23" s="140">
        <v>5106</v>
      </c>
      <c r="K23" s="140">
        <v>5529</v>
      </c>
      <c r="L23" s="140">
        <v>2320</v>
      </c>
      <c r="M23" s="140">
        <v>4413</v>
      </c>
      <c r="N23" s="140">
        <v>3626</v>
      </c>
      <c r="O23" s="141">
        <f t="shared" si="0"/>
        <v>4747.666666666667</v>
      </c>
      <c r="P23" s="248">
        <f t="shared" si="1"/>
        <v>0.47476666666666667</v>
      </c>
      <c r="Q23" s="140">
        <v>120000</v>
      </c>
      <c r="R23" s="142">
        <f t="shared" si="2"/>
        <v>56972</v>
      </c>
      <c r="S23" s="143"/>
      <c r="T23" s="144">
        <f t="shared" si="3"/>
        <v>56972</v>
      </c>
    </row>
    <row r="24" spans="1:117" s="145" customFormat="1">
      <c r="A24" s="138">
        <v>17</v>
      </c>
      <c r="B24" s="148" t="s">
        <v>108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1">
        <f>AVERAGE(C24:N24)</f>
        <v>0</v>
      </c>
      <c r="P24" s="248">
        <f>R24/Q24</f>
        <v>0</v>
      </c>
      <c r="Q24" s="140">
        <v>120000</v>
      </c>
      <c r="R24" s="142">
        <f>SUM(C24:N24)</f>
        <v>0</v>
      </c>
      <c r="S24" s="143"/>
      <c r="T24" s="144">
        <f>R24</f>
        <v>0</v>
      </c>
    </row>
    <row r="25" spans="1:117" s="152" customFormat="1">
      <c r="A25" s="356" t="s">
        <v>113</v>
      </c>
      <c r="B25" s="357"/>
      <c r="C25" s="150">
        <f t="shared" ref="C25:O25" si="4">SUM(C4:C23)</f>
        <v>67828</v>
      </c>
      <c r="D25" s="150">
        <f t="shared" si="4"/>
        <v>90836</v>
      </c>
      <c r="E25" s="150">
        <f t="shared" si="4"/>
        <v>93901</v>
      </c>
      <c r="F25" s="150">
        <f t="shared" si="4"/>
        <v>57790</v>
      </c>
      <c r="G25" s="150">
        <f t="shared" si="4"/>
        <v>75441</v>
      </c>
      <c r="H25" s="150">
        <f>SUM(H4:H23)</f>
        <v>65171</v>
      </c>
      <c r="I25" s="150">
        <f t="shared" si="4"/>
        <v>60739</v>
      </c>
      <c r="J25" s="150">
        <f t="shared" si="4"/>
        <v>76753</v>
      </c>
      <c r="K25" s="150">
        <f>SUM(K4:K23)</f>
        <v>82171</v>
      </c>
      <c r="L25" s="150">
        <f>SUM(L4:L23)</f>
        <v>52421</v>
      </c>
      <c r="M25" s="150">
        <f>SUM(M4:M23)</f>
        <v>56004</v>
      </c>
      <c r="N25" s="150">
        <f>SUM(N4:N23)</f>
        <v>73730</v>
      </c>
      <c r="O25" s="150">
        <f t="shared" si="4"/>
        <v>71065.416666666672</v>
      </c>
      <c r="P25" s="151">
        <f t="shared" si="1"/>
        <v>0.35532708333333335</v>
      </c>
      <c r="Q25" s="150">
        <f>SUM(Q4:Q23)</f>
        <v>2400000</v>
      </c>
      <c r="R25" s="150">
        <f>SUM(R4:R23)</f>
        <v>852785</v>
      </c>
      <c r="S25" s="143"/>
      <c r="T25" s="144">
        <f t="shared" si="3"/>
        <v>852785</v>
      </c>
    </row>
    <row r="26" spans="1:117" s="153" customFormat="1" ht="18.5" thickBot="1">
      <c r="S26" s="154"/>
      <c r="T26" s="155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6"/>
      <c r="CY26" s="156"/>
      <c r="CZ26" s="156"/>
      <c r="DA26" s="156"/>
      <c r="DB26" s="156"/>
      <c r="DC26" s="156"/>
      <c r="DD26" s="156"/>
      <c r="DE26" s="156"/>
      <c r="DF26" s="156"/>
      <c r="DG26" s="156"/>
      <c r="DH26" s="156"/>
      <c r="DI26" s="156"/>
      <c r="DJ26" s="156"/>
      <c r="DK26" s="156"/>
      <c r="DL26" s="156"/>
      <c r="DM26" s="156"/>
    </row>
    <row r="27" spans="1:117">
      <c r="C27" s="128" t="s">
        <v>153</v>
      </c>
      <c r="S27" s="154"/>
    </row>
    <row r="28" spans="1:117">
      <c r="S28" s="154"/>
    </row>
    <row r="29" spans="1:117">
      <c r="S29" s="154"/>
    </row>
    <row r="30" spans="1:117">
      <c r="S30" s="154"/>
    </row>
    <row r="31" spans="1:117">
      <c r="S31" s="154"/>
    </row>
  </sheetData>
  <mergeCells count="2">
    <mergeCell ref="A1:T1"/>
    <mergeCell ref="A25:B25"/>
  </mergeCells>
  <conditionalFormatting sqref="C4:P24">
    <cfRule type="colorScale" priority="1">
      <colorScale>
        <cfvo type="min"/>
        <cfvo type="percentile" val="70"/>
        <cfvo type="max"/>
        <color theme="5" tint="0.79998168889431442"/>
        <color theme="9" tint="0.79998168889431442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C833-78D8-451F-9413-D76A82ABCC05}">
  <dimension ref="A1:L554"/>
  <sheetViews>
    <sheetView zoomScale="120" zoomScaleNormal="120" workbookViewId="0">
      <pane xSplit="2" ySplit="2" topLeftCell="C17" activePane="bottomRight" state="frozen"/>
      <selection pane="topRight" activeCell="D1" sqref="D1"/>
      <selection pane="bottomLeft" activeCell="A4" sqref="A4"/>
      <selection pane="bottomRight" activeCell="E41" sqref="E41"/>
    </sheetView>
  </sheetViews>
  <sheetFormatPr defaultColWidth="9.08984375" defaultRowHeight="14.5"/>
  <cols>
    <col min="1" max="1" width="10.453125" style="264" bestFit="1" customWidth="1"/>
    <col min="2" max="2" width="13.1796875" style="264" bestFit="1" customWidth="1"/>
    <col min="3" max="3" width="32.81640625" style="264" bestFit="1" customWidth="1"/>
    <col min="4" max="4" width="12.7265625" style="264" customWidth="1"/>
    <col min="5" max="5" width="14.453125" style="264" bestFit="1" customWidth="1"/>
    <col min="6" max="6" width="8.7265625" style="264" customWidth="1"/>
    <col min="7" max="7" width="9.08984375" style="264" customWidth="1"/>
    <col min="8" max="8" width="18.7265625" style="264" bestFit="1" customWidth="1"/>
    <col min="9" max="9" width="43.08984375" style="264" bestFit="1" customWidth="1"/>
    <col min="10" max="10" width="17.81640625" style="264" bestFit="1" customWidth="1"/>
    <col min="11" max="11" width="14.26953125" style="264" bestFit="1" customWidth="1"/>
    <col min="12" max="12" width="19.6328125" style="264" bestFit="1" customWidth="1"/>
    <col min="13" max="13" width="13.08984375" style="264" bestFit="1" customWidth="1"/>
    <col min="14" max="14" width="12.1796875" style="264" bestFit="1" customWidth="1"/>
    <col min="15" max="15" width="21.81640625" style="264" bestFit="1" customWidth="1"/>
    <col min="16" max="16" width="22.7265625" style="264" bestFit="1" customWidth="1"/>
    <col min="17" max="16384" width="9.08984375" style="264"/>
  </cols>
  <sheetData>
    <row r="1" spans="1:12" s="263" customFormat="1" ht="22.25" customHeight="1" thickBot="1">
      <c r="A1" s="273">
        <f ca="1">TODAY()</f>
        <v>45484</v>
      </c>
      <c r="B1" s="274" t="s">
        <v>208</v>
      </c>
      <c r="C1" s="274" t="s">
        <v>172</v>
      </c>
      <c r="D1" s="362" t="s">
        <v>177</v>
      </c>
      <c r="E1" s="363"/>
      <c r="F1" s="362" t="s">
        <v>178</v>
      </c>
      <c r="G1" s="363"/>
      <c r="H1" s="274" t="s">
        <v>181</v>
      </c>
      <c r="I1" s="275"/>
      <c r="J1" s="276" t="s">
        <v>200</v>
      </c>
      <c r="K1" s="360" t="s">
        <v>247</v>
      </c>
      <c r="L1" s="361"/>
    </row>
    <row r="2" spans="1:12" s="263" customFormat="1" ht="15.5" thickTop="1" thickBot="1">
      <c r="A2" s="313" t="s">
        <v>171</v>
      </c>
      <c r="B2" s="314" t="s">
        <v>170</v>
      </c>
      <c r="C2" s="301" t="s">
        <v>207</v>
      </c>
      <c r="D2" s="315" t="s">
        <v>175</v>
      </c>
      <c r="E2" s="315" t="s">
        <v>176</v>
      </c>
      <c r="F2" s="315" t="s">
        <v>179</v>
      </c>
      <c r="G2" s="315" t="s">
        <v>180</v>
      </c>
      <c r="H2" s="315" t="s">
        <v>196</v>
      </c>
      <c r="I2" s="315" t="s">
        <v>185</v>
      </c>
      <c r="J2" s="302" t="s">
        <v>197</v>
      </c>
      <c r="K2" s="315" t="s">
        <v>179</v>
      </c>
      <c r="L2" s="315" t="s">
        <v>180</v>
      </c>
    </row>
    <row r="3" spans="1:12" ht="15.5" thickTop="1" thickBot="1">
      <c r="A3" s="312">
        <f ca="1">A1</f>
        <v>45484</v>
      </c>
      <c r="B3" s="277" t="s">
        <v>33</v>
      </c>
      <c r="C3" s="278" t="s">
        <v>194</v>
      </c>
      <c r="D3" s="280">
        <v>45326.578472222223</v>
      </c>
      <c r="E3" s="281">
        <f t="shared" ref="E3:E19" ca="1" si="0">NOW()</f>
        <v>45484.461160069448</v>
      </c>
      <c r="F3" s="279">
        <f t="shared" ref="F3:F19" ca="1" si="1">(E3-D3)*24</f>
        <v>3789.1845083333901</v>
      </c>
      <c r="G3" s="285">
        <f ca="1">DATEDIF(D3,E3,"D")</f>
        <v>158</v>
      </c>
      <c r="H3" s="286" t="s">
        <v>184</v>
      </c>
      <c r="I3" s="287" t="s">
        <v>243</v>
      </c>
      <c r="J3" s="300">
        <f t="shared" ref="J3:J20" ca="1" si="2">SUMIF(B:B,B3,G:G)</f>
        <v>158</v>
      </c>
      <c r="K3" s="279">
        <f ca="1">F58</f>
        <v>3669.2511750000995</v>
      </c>
      <c r="L3" s="279">
        <f ca="1">Table5[[#This Row],[HOURS]]/24</f>
        <v>152.88546562500414</v>
      </c>
    </row>
    <row r="4" spans="1:12" ht="15.5" thickTop="1" thickBot="1">
      <c r="A4" s="312">
        <f ca="1">A1</f>
        <v>45484</v>
      </c>
      <c r="B4" s="277" t="s">
        <v>35</v>
      </c>
      <c r="C4" s="278" t="s">
        <v>201</v>
      </c>
      <c r="D4" s="296">
        <v>45326.041678240741</v>
      </c>
      <c r="E4" s="283">
        <f t="shared" ca="1" si="0"/>
        <v>45484.461160069448</v>
      </c>
      <c r="F4" s="279">
        <f t="shared" ca="1" si="1"/>
        <v>3802.0675638889661</v>
      </c>
      <c r="G4" s="288">
        <f t="shared" ref="G4:G19" ca="1" si="3">DATEDIF(D4,E4,"D")</f>
        <v>158</v>
      </c>
      <c r="H4" s="286" t="s">
        <v>184</v>
      </c>
      <c r="I4" s="289" t="s">
        <v>140</v>
      </c>
      <c r="J4" s="300">
        <f t="shared" ca="1" si="2"/>
        <v>158</v>
      </c>
      <c r="K4" s="279">
        <f ca="1">F89</f>
        <v>3763.8153416662244</v>
      </c>
      <c r="L4" s="279">
        <f ca="1">Table5[[#This Row],[HOURS]]/24</f>
        <v>156.82563923609268</v>
      </c>
    </row>
    <row r="5" spans="1:12" ht="15.5" thickTop="1" thickBot="1">
      <c r="A5" s="312">
        <f ca="1">A1</f>
        <v>45484</v>
      </c>
      <c r="B5" s="277" t="s">
        <v>37</v>
      </c>
      <c r="C5" s="278" t="s">
        <v>194</v>
      </c>
      <c r="D5" s="280">
        <v>45323</v>
      </c>
      <c r="E5" s="283">
        <f t="shared" ca="1" si="0"/>
        <v>45484.461160069448</v>
      </c>
      <c r="F5" s="279">
        <f t="shared" ca="1" si="1"/>
        <v>3875.0678416667506</v>
      </c>
      <c r="G5" s="288">
        <f t="shared" ca="1" si="3"/>
        <v>161</v>
      </c>
      <c r="H5" s="286" t="s">
        <v>203</v>
      </c>
      <c r="I5" s="289" t="s">
        <v>243</v>
      </c>
      <c r="J5" s="300">
        <f t="shared" ca="1" si="2"/>
        <v>161</v>
      </c>
      <c r="K5" s="279">
        <f ca="1">F120</f>
        <v>3875.0675638889079</v>
      </c>
      <c r="L5" s="279">
        <f ca="1">Table5[[#This Row],[HOURS]]/24</f>
        <v>161.46114849537116</v>
      </c>
    </row>
    <row r="6" spans="1:12" ht="15.5" thickTop="1" thickBot="1">
      <c r="A6" s="312">
        <f ca="1">A1</f>
        <v>45484</v>
      </c>
      <c r="B6" s="277" t="s">
        <v>38</v>
      </c>
      <c r="C6" s="278" t="s">
        <v>192</v>
      </c>
      <c r="D6" s="282">
        <v>45302.291666666664</v>
      </c>
      <c r="E6" s="283">
        <f t="shared" ca="1" si="0"/>
        <v>45484.461160069448</v>
      </c>
      <c r="F6" s="279">
        <f t="shared" ca="1" si="1"/>
        <v>4372.0678416668088</v>
      </c>
      <c r="G6" s="288">
        <f t="shared" ca="1" si="3"/>
        <v>182</v>
      </c>
      <c r="H6" s="286" t="s">
        <v>203</v>
      </c>
      <c r="I6" s="289" t="s">
        <v>204</v>
      </c>
      <c r="J6" s="300">
        <f t="shared" ca="1" si="2"/>
        <v>182</v>
      </c>
      <c r="K6" s="279" t="e">
        <f t="shared" ref="K6:K19" ca="1" si="4">(J6-I6)*24</f>
        <v>#VALUE!</v>
      </c>
      <c r="L6" s="279" t="e">
        <f ca="1">Table5[[#This Row],[HOURS]]/24</f>
        <v>#VALUE!</v>
      </c>
    </row>
    <row r="7" spans="1:12" ht="15.5" thickTop="1" thickBot="1">
      <c r="A7" s="312">
        <f ca="1">A1</f>
        <v>45484</v>
      </c>
      <c r="B7" s="277" t="s">
        <v>40</v>
      </c>
      <c r="C7" s="278" t="s">
        <v>199</v>
      </c>
      <c r="D7" s="284">
        <f ca="1">NOW()</f>
        <v>45484.461160069448</v>
      </c>
      <c r="E7" s="283">
        <f t="shared" ca="1" si="0"/>
        <v>45484.461160069448</v>
      </c>
      <c r="F7" s="279">
        <f t="shared" ca="1" si="1"/>
        <v>0</v>
      </c>
      <c r="G7" s="288">
        <f t="shared" ca="1" si="3"/>
        <v>0</v>
      </c>
      <c r="H7" s="286"/>
      <c r="I7" s="289"/>
      <c r="J7" s="300">
        <f t="shared" ca="1" si="2"/>
        <v>0</v>
      </c>
      <c r="K7" s="279">
        <f t="shared" ca="1" si="4"/>
        <v>0</v>
      </c>
      <c r="L7" s="279">
        <f ca="1">Table5[[#This Row],[HOURS]]/24</f>
        <v>0</v>
      </c>
    </row>
    <row r="8" spans="1:12" ht="15.5" thickTop="1" thickBot="1">
      <c r="A8" s="312">
        <f ca="1">A1</f>
        <v>45484</v>
      </c>
      <c r="B8" s="277" t="s">
        <v>41</v>
      </c>
      <c r="C8" s="278" t="s">
        <v>199</v>
      </c>
      <c r="D8" s="284">
        <f ca="1">NOW()</f>
        <v>45484.461160069448</v>
      </c>
      <c r="E8" s="283">
        <f ca="1">NOW()</f>
        <v>45484.461160069448</v>
      </c>
      <c r="F8" s="279">
        <f t="shared" ca="1" si="1"/>
        <v>0</v>
      </c>
      <c r="G8" s="288">
        <f t="shared" ca="1" si="3"/>
        <v>0</v>
      </c>
      <c r="H8" s="286" t="s">
        <v>203</v>
      </c>
      <c r="I8" s="289" t="s">
        <v>205</v>
      </c>
      <c r="J8" s="300">
        <f t="shared" ca="1" si="2"/>
        <v>0</v>
      </c>
      <c r="K8" s="279" t="e">
        <f t="shared" ca="1" si="4"/>
        <v>#VALUE!</v>
      </c>
      <c r="L8" s="279" t="e">
        <f ca="1">Table5[[#This Row],[HOURS]]/24</f>
        <v>#VALUE!</v>
      </c>
    </row>
    <row r="9" spans="1:12" ht="15.5" thickTop="1" thickBot="1">
      <c r="A9" s="312">
        <f ca="1">A1</f>
        <v>45484</v>
      </c>
      <c r="B9" s="277" t="s">
        <v>43</v>
      </c>
      <c r="C9" s="278" t="s">
        <v>192</v>
      </c>
      <c r="D9" s="282">
        <v>45302.291666666664</v>
      </c>
      <c r="E9" s="283">
        <f t="shared" ca="1" si="0"/>
        <v>45484.461160069448</v>
      </c>
      <c r="F9" s="279">
        <f t="shared" ca="1" si="1"/>
        <v>4372.0678416668088</v>
      </c>
      <c r="G9" s="288">
        <f t="shared" ca="1" si="3"/>
        <v>182</v>
      </c>
      <c r="H9" s="286" t="s">
        <v>203</v>
      </c>
      <c r="I9" s="289" t="s">
        <v>204</v>
      </c>
      <c r="J9" s="300">
        <f t="shared" ca="1" si="2"/>
        <v>182</v>
      </c>
      <c r="K9" s="279" t="e">
        <f t="shared" ca="1" si="4"/>
        <v>#VALUE!</v>
      </c>
      <c r="L9" s="279" t="e">
        <f ca="1">Table5[[#This Row],[HOURS]]/24</f>
        <v>#VALUE!</v>
      </c>
    </row>
    <row r="10" spans="1:12" ht="15.5" thickTop="1" thickBot="1">
      <c r="A10" s="312">
        <f ca="1">A1</f>
        <v>45484</v>
      </c>
      <c r="B10" s="277" t="s">
        <v>45</v>
      </c>
      <c r="C10" s="278" t="s">
        <v>199</v>
      </c>
      <c r="D10" s="284">
        <f ca="1">NOW()</f>
        <v>45484.461160069448</v>
      </c>
      <c r="E10" s="283">
        <f t="shared" ca="1" si="0"/>
        <v>45484.461160069448</v>
      </c>
      <c r="F10" s="279">
        <f t="shared" ca="1" si="1"/>
        <v>0</v>
      </c>
      <c r="G10" s="288">
        <f t="shared" ca="1" si="3"/>
        <v>0</v>
      </c>
      <c r="H10" s="286"/>
      <c r="I10" s="289"/>
      <c r="J10" s="300">
        <f t="shared" ca="1" si="2"/>
        <v>0</v>
      </c>
      <c r="K10" s="279">
        <f t="shared" ca="1" si="4"/>
        <v>0</v>
      </c>
      <c r="L10" s="279">
        <f ca="1">Table5[[#This Row],[HOURS]]/24</f>
        <v>0</v>
      </c>
    </row>
    <row r="11" spans="1:12" ht="15.5" thickTop="1" thickBot="1">
      <c r="A11" s="312">
        <f ca="1">A1</f>
        <v>45484</v>
      </c>
      <c r="B11" s="277" t="s">
        <v>47</v>
      </c>
      <c r="C11" s="278" t="s">
        <v>190</v>
      </c>
      <c r="D11" s="282">
        <v>45301.759027777778</v>
      </c>
      <c r="E11" s="283">
        <f t="shared" ca="1" si="0"/>
        <v>45484.461160069448</v>
      </c>
      <c r="F11" s="279">
        <f t="shared" ca="1" si="1"/>
        <v>4384.8511750000762</v>
      </c>
      <c r="G11" s="288">
        <f t="shared" ca="1" si="3"/>
        <v>183</v>
      </c>
      <c r="H11" s="286" t="s">
        <v>203</v>
      </c>
      <c r="I11" s="289" t="s">
        <v>205</v>
      </c>
      <c r="J11" s="300">
        <f t="shared" ca="1" si="2"/>
        <v>183</v>
      </c>
      <c r="K11" s="279" t="e">
        <f t="shared" ca="1" si="4"/>
        <v>#VALUE!</v>
      </c>
      <c r="L11" s="279" t="e">
        <f ca="1">Table5[[#This Row],[HOURS]]/24</f>
        <v>#VALUE!</v>
      </c>
    </row>
    <row r="12" spans="1:12" ht="15.5" thickTop="1" thickBot="1">
      <c r="A12" s="312">
        <f ca="1">A1</f>
        <v>45484</v>
      </c>
      <c r="B12" s="277" t="s">
        <v>49</v>
      </c>
      <c r="C12" s="278" t="s">
        <v>199</v>
      </c>
      <c r="D12" s="284">
        <f ca="1">NOW()</f>
        <v>45484.461160069448</v>
      </c>
      <c r="E12" s="283">
        <f t="shared" ca="1" si="0"/>
        <v>45484.461160069448</v>
      </c>
      <c r="F12" s="279">
        <f t="shared" ca="1" si="1"/>
        <v>0</v>
      </c>
      <c r="G12" s="288">
        <f t="shared" ca="1" si="3"/>
        <v>0</v>
      </c>
      <c r="H12" s="286"/>
      <c r="I12" s="289"/>
      <c r="J12" s="300">
        <f t="shared" ca="1" si="2"/>
        <v>0</v>
      </c>
      <c r="K12" s="279">
        <f t="shared" ca="1" si="4"/>
        <v>0</v>
      </c>
      <c r="L12" s="279">
        <f ca="1">Table5[[#This Row],[HOURS]]/24</f>
        <v>0</v>
      </c>
    </row>
    <row r="13" spans="1:12" ht="15.5" thickTop="1" thickBot="1">
      <c r="A13" s="312">
        <f ca="1">A1</f>
        <v>45484</v>
      </c>
      <c r="B13" s="277" t="s">
        <v>51</v>
      </c>
      <c r="C13" s="278" t="s">
        <v>190</v>
      </c>
      <c r="D13" s="282">
        <v>45301.680555555555</v>
      </c>
      <c r="E13" s="283">
        <f t="shared" ca="1" si="0"/>
        <v>45484.461160069448</v>
      </c>
      <c r="F13" s="279">
        <f t="shared" ca="1" si="1"/>
        <v>4386.7345083334367</v>
      </c>
      <c r="G13" s="288">
        <f t="shared" ca="1" si="3"/>
        <v>183</v>
      </c>
      <c r="H13" s="286" t="s">
        <v>203</v>
      </c>
      <c r="I13" s="289" t="s">
        <v>206</v>
      </c>
      <c r="J13" s="300">
        <f t="shared" ca="1" si="2"/>
        <v>183</v>
      </c>
      <c r="K13" s="279" t="e">
        <f t="shared" ca="1" si="4"/>
        <v>#VALUE!</v>
      </c>
      <c r="L13" s="279" t="e">
        <f ca="1">Table5[[#This Row],[HOURS]]/24</f>
        <v>#VALUE!</v>
      </c>
    </row>
    <row r="14" spans="1:12" ht="15.5" thickTop="1" thickBot="1">
      <c r="A14" s="312">
        <f ca="1">A1</f>
        <v>45484</v>
      </c>
      <c r="B14" s="277" t="s">
        <v>53</v>
      </c>
      <c r="C14" s="278" t="s">
        <v>199</v>
      </c>
      <c r="D14" s="284">
        <f ca="1">NOW()</f>
        <v>45484.461160069448</v>
      </c>
      <c r="E14" s="283">
        <f t="shared" ca="1" si="0"/>
        <v>45484.461160069448</v>
      </c>
      <c r="F14" s="279">
        <f t="shared" ca="1" si="1"/>
        <v>0</v>
      </c>
      <c r="G14" s="288">
        <f t="shared" ca="1" si="3"/>
        <v>0</v>
      </c>
      <c r="H14" s="286"/>
      <c r="I14" s="289"/>
      <c r="J14" s="300">
        <f t="shared" ca="1" si="2"/>
        <v>0</v>
      </c>
      <c r="K14" s="279">
        <f t="shared" ca="1" si="4"/>
        <v>0</v>
      </c>
      <c r="L14" s="279">
        <f ca="1">Table5[[#This Row],[HOURS]]/24</f>
        <v>0</v>
      </c>
    </row>
    <row r="15" spans="1:12" ht="15.5" thickTop="1" thickBot="1">
      <c r="A15" s="312">
        <f ca="1">A1</f>
        <v>45484</v>
      </c>
      <c r="B15" s="277" t="s">
        <v>55</v>
      </c>
      <c r="C15" s="278" t="s">
        <v>190</v>
      </c>
      <c r="D15" s="282">
        <v>45301.805555555555</v>
      </c>
      <c r="E15" s="283">
        <f t="shared" ca="1" si="0"/>
        <v>45484.461160069448</v>
      </c>
      <c r="F15" s="279">
        <f t="shared" ca="1" si="1"/>
        <v>4383.7345083334367</v>
      </c>
      <c r="G15" s="288">
        <f t="shared" ca="1" si="3"/>
        <v>183</v>
      </c>
      <c r="H15" s="286" t="s">
        <v>203</v>
      </c>
      <c r="I15" s="289" t="s">
        <v>206</v>
      </c>
      <c r="J15" s="300">
        <f t="shared" ca="1" si="2"/>
        <v>183</v>
      </c>
      <c r="K15" s="279" t="e">
        <f t="shared" ca="1" si="4"/>
        <v>#VALUE!</v>
      </c>
      <c r="L15" s="279" t="e">
        <f ca="1">Table5[[#This Row],[HOURS]]/24</f>
        <v>#VALUE!</v>
      </c>
    </row>
    <row r="16" spans="1:12" ht="15.5" thickTop="1" thickBot="1">
      <c r="A16" s="312">
        <f ca="1">A1</f>
        <v>45484</v>
      </c>
      <c r="B16" s="277" t="s">
        <v>58</v>
      </c>
      <c r="C16" s="278" t="s">
        <v>199</v>
      </c>
      <c r="D16" s="284">
        <f ca="1">NOW()</f>
        <v>45484.461160069448</v>
      </c>
      <c r="E16" s="283">
        <f t="shared" ca="1" si="0"/>
        <v>45484.461160069448</v>
      </c>
      <c r="F16" s="279">
        <f t="shared" ca="1" si="1"/>
        <v>0</v>
      </c>
      <c r="G16" s="288">
        <f t="shared" ca="1" si="3"/>
        <v>0</v>
      </c>
      <c r="H16" s="286"/>
      <c r="I16" s="289"/>
      <c r="J16" s="300">
        <f t="shared" ca="1" si="2"/>
        <v>0</v>
      </c>
      <c r="K16" s="279">
        <f t="shared" ca="1" si="4"/>
        <v>0</v>
      </c>
      <c r="L16" s="279">
        <f ca="1">Table5[[#This Row],[HOURS]]/24</f>
        <v>0</v>
      </c>
    </row>
    <row r="17" spans="1:12" ht="15.5" thickTop="1" thickBot="1">
      <c r="A17" s="312">
        <f ca="1">A1</f>
        <v>45484</v>
      </c>
      <c r="B17" s="277" t="s">
        <v>60</v>
      </c>
      <c r="C17" s="278" t="s">
        <v>199</v>
      </c>
      <c r="D17" s="284">
        <f ca="1">NOW()</f>
        <v>45484.461160069448</v>
      </c>
      <c r="E17" s="283">
        <f t="shared" ca="1" si="0"/>
        <v>45484.461160069448</v>
      </c>
      <c r="F17" s="279">
        <f t="shared" ca="1" si="1"/>
        <v>0</v>
      </c>
      <c r="G17" s="288">
        <f t="shared" ca="1" si="3"/>
        <v>0</v>
      </c>
      <c r="H17" s="286"/>
      <c r="I17" s="289"/>
      <c r="J17" s="300">
        <f t="shared" ca="1" si="2"/>
        <v>0</v>
      </c>
      <c r="K17" s="279">
        <f t="shared" ca="1" si="4"/>
        <v>0</v>
      </c>
      <c r="L17" s="279">
        <f ca="1">Table5[[#This Row],[HOURS]]/24</f>
        <v>0</v>
      </c>
    </row>
    <row r="18" spans="1:12" ht="15.5" thickTop="1" thickBot="1">
      <c r="A18" s="312">
        <f ca="1">A1</f>
        <v>45484</v>
      </c>
      <c r="B18" s="277" t="s">
        <v>62</v>
      </c>
      <c r="C18" s="278" t="s">
        <v>190</v>
      </c>
      <c r="D18" s="282">
        <v>45300.930555555555</v>
      </c>
      <c r="E18" s="283">
        <f t="shared" ca="1" si="0"/>
        <v>45484.461160069448</v>
      </c>
      <c r="F18" s="279">
        <f t="shared" ca="1" si="1"/>
        <v>4404.7345083334367</v>
      </c>
      <c r="G18" s="288">
        <f t="shared" ca="1" si="3"/>
        <v>184</v>
      </c>
      <c r="H18" s="286" t="s">
        <v>203</v>
      </c>
      <c r="I18" s="289" t="s">
        <v>205</v>
      </c>
      <c r="J18" s="300">
        <f t="shared" ca="1" si="2"/>
        <v>184</v>
      </c>
      <c r="K18" s="279" t="e">
        <f t="shared" ca="1" si="4"/>
        <v>#VALUE!</v>
      </c>
      <c r="L18" s="279" t="e">
        <f ca="1">Table5[[#This Row],[HOURS]]/24</f>
        <v>#VALUE!</v>
      </c>
    </row>
    <row r="19" spans="1:12" ht="15" thickTop="1">
      <c r="A19" s="316">
        <f ca="1">A1</f>
        <v>45484</v>
      </c>
      <c r="B19" s="303" t="s">
        <v>64</v>
      </c>
      <c r="C19" s="304" t="s">
        <v>199</v>
      </c>
      <c r="D19" s="305">
        <f ca="1">NOW()</f>
        <v>45484.461160069448</v>
      </c>
      <c r="E19" s="306">
        <f t="shared" ca="1" si="0"/>
        <v>45484.461160069448</v>
      </c>
      <c r="F19" s="307">
        <f t="shared" ca="1" si="1"/>
        <v>0</v>
      </c>
      <c r="G19" s="308">
        <f t="shared" ca="1" si="3"/>
        <v>0</v>
      </c>
      <c r="H19" s="309"/>
      <c r="I19" s="310"/>
      <c r="J19" s="311">
        <f t="shared" ca="1" si="2"/>
        <v>0</v>
      </c>
      <c r="K19" s="307">
        <f t="shared" ca="1" si="4"/>
        <v>0</v>
      </c>
      <c r="L19" s="279">
        <f ca="1">Table5[[#This Row],[HOURS]]/24</f>
        <v>0</v>
      </c>
    </row>
    <row r="20" spans="1:12" hidden="1">
      <c r="A20" s="266">
        <v>45627</v>
      </c>
      <c r="B20" s="265" t="s">
        <v>56</v>
      </c>
      <c r="C20" s="267" t="s">
        <v>189</v>
      </c>
      <c r="D20" s="268"/>
      <c r="E20" s="269">
        <f t="shared" ref="E20" ca="1" si="5">NOW()</f>
        <v>45484.461160069448</v>
      </c>
      <c r="F20" s="270">
        <f t="shared" ref="F20" ca="1" si="6">(E20-D20)*24</f>
        <v>1091627.0678416668</v>
      </c>
      <c r="G20" s="270">
        <f t="shared" ref="G20" ca="1" si="7">DATEDIF(D20,E20,"D")</f>
        <v>45484</v>
      </c>
      <c r="H20" s="271"/>
      <c r="I20" s="271"/>
      <c r="J20" s="271">
        <f t="shared" ca="1" si="2"/>
        <v>45484</v>
      </c>
    </row>
    <row r="21" spans="1:12">
      <c r="A21" s="272"/>
      <c r="B21" s="272"/>
    </row>
    <row r="22" spans="1:12">
      <c r="A22" s="272"/>
      <c r="B22" s="272"/>
    </row>
    <row r="23" spans="1:12">
      <c r="A23" s="272"/>
      <c r="B23" s="272"/>
    </row>
    <row r="24" spans="1:12">
      <c r="A24" s="272"/>
      <c r="B24" s="272"/>
    </row>
    <row r="25" spans="1:12">
      <c r="A25" s="272"/>
      <c r="B25" s="272"/>
    </row>
    <row r="26" spans="1:12" ht="15" thickBot="1">
      <c r="A26" s="272"/>
      <c r="B26" s="272"/>
    </row>
    <row r="27" spans="1:12" ht="15" thickBot="1">
      <c r="A27" s="290" t="s">
        <v>171</v>
      </c>
      <c r="B27" s="290" t="s">
        <v>170</v>
      </c>
      <c r="C27" s="274" t="s">
        <v>172</v>
      </c>
      <c r="D27" s="364" t="s">
        <v>177</v>
      </c>
      <c r="E27" s="364"/>
      <c r="F27" s="364" t="s">
        <v>178</v>
      </c>
      <c r="G27" s="364"/>
      <c r="H27" s="274" t="s">
        <v>181</v>
      </c>
      <c r="I27" s="275"/>
    </row>
    <row r="28" spans="1:12" ht="15" thickTop="1">
      <c r="A28" s="293"/>
      <c r="B28" s="292" t="s">
        <v>33</v>
      </c>
      <c r="C28" s="290" t="s">
        <v>207</v>
      </c>
      <c r="D28" s="290" t="s">
        <v>175</v>
      </c>
      <c r="E28" s="290" t="s">
        <v>176</v>
      </c>
      <c r="F28" s="290" t="s">
        <v>179</v>
      </c>
      <c r="G28" s="290" t="s">
        <v>180</v>
      </c>
      <c r="H28" s="290" t="s">
        <v>196</v>
      </c>
      <c r="I28" s="290" t="s">
        <v>185</v>
      </c>
    </row>
    <row r="29" spans="1:12">
      <c r="A29" s="294">
        <v>45323</v>
      </c>
      <c r="B29" s="358"/>
      <c r="C29" s="295" t="s">
        <v>199</v>
      </c>
      <c r="D29" s="296">
        <v>45323.680555555555</v>
      </c>
      <c r="E29" s="296">
        <v>45323.680555555555</v>
      </c>
      <c r="F29" s="297">
        <f>(E29-D29)*24</f>
        <v>0</v>
      </c>
      <c r="G29" s="288">
        <f>DATEDIF(D29,E29,"D")</f>
        <v>0</v>
      </c>
      <c r="H29" s="298" t="s">
        <v>199</v>
      </c>
      <c r="I29" s="299" t="s">
        <v>244</v>
      </c>
    </row>
    <row r="30" spans="1:12">
      <c r="A30" s="294">
        <v>45324</v>
      </c>
      <c r="B30" s="359"/>
      <c r="C30" s="295" t="s">
        <v>199</v>
      </c>
      <c r="D30" s="296">
        <v>45324.5625</v>
      </c>
      <c r="E30" s="296">
        <v>45324.5625</v>
      </c>
      <c r="F30" s="297">
        <f>(E30-D30)*24</f>
        <v>0</v>
      </c>
      <c r="G30" s="288">
        <f t="shared" ref="G30:G57" si="8">DATEDIF(D30,E30,"D")</f>
        <v>0</v>
      </c>
      <c r="H30" s="298" t="s">
        <v>199</v>
      </c>
      <c r="I30" s="299"/>
    </row>
    <row r="31" spans="1:12" ht="15" thickBot="1">
      <c r="A31" s="294">
        <v>45325</v>
      </c>
      <c r="B31" s="359"/>
      <c r="C31" s="295" t="s">
        <v>199</v>
      </c>
      <c r="D31" s="296">
        <v>45325.444444502318</v>
      </c>
      <c r="E31" s="296">
        <v>45325.444444502318</v>
      </c>
      <c r="F31" s="297">
        <f t="shared" ref="F31:F57" si="9">(E31-D31)*24</f>
        <v>0</v>
      </c>
      <c r="G31" s="288">
        <f t="shared" si="8"/>
        <v>0</v>
      </c>
      <c r="H31" s="298" t="s">
        <v>199</v>
      </c>
      <c r="I31" s="299"/>
    </row>
    <row r="32" spans="1:12">
      <c r="A32" s="294">
        <v>45326</v>
      </c>
      <c r="B32" s="359"/>
      <c r="C32" s="295" t="s">
        <v>194</v>
      </c>
      <c r="D32" s="280">
        <v>45326.578472222223</v>
      </c>
      <c r="E32" s="296">
        <v>45326.961805555555</v>
      </c>
      <c r="F32" s="297">
        <f t="shared" si="9"/>
        <v>9.1999999999534339</v>
      </c>
      <c r="G32" s="288">
        <f t="shared" si="8"/>
        <v>0</v>
      </c>
      <c r="H32" s="298" t="s">
        <v>184</v>
      </c>
      <c r="I32" s="299" t="s">
        <v>245</v>
      </c>
    </row>
    <row r="33" spans="1:11">
      <c r="A33" s="294">
        <v>45327</v>
      </c>
      <c r="B33" s="359"/>
      <c r="C33" s="295" t="s">
        <v>194</v>
      </c>
      <c r="D33" s="296">
        <v>45327</v>
      </c>
      <c r="E33" s="296">
        <v>45328</v>
      </c>
      <c r="F33" s="297">
        <f t="shared" si="9"/>
        <v>24</v>
      </c>
      <c r="G33" s="288">
        <f t="shared" si="8"/>
        <v>1</v>
      </c>
      <c r="H33" s="298" t="s">
        <v>184</v>
      </c>
      <c r="I33" s="299" t="s">
        <v>245</v>
      </c>
    </row>
    <row r="34" spans="1:11">
      <c r="A34" s="294">
        <v>45328</v>
      </c>
      <c r="B34" s="359"/>
      <c r="C34" s="295" t="s">
        <v>194</v>
      </c>
      <c r="D34" s="296">
        <v>45328</v>
      </c>
      <c r="E34" s="296">
        <v>45328.208333333336</v>
      </c>
      <c r="F34" s="297">
        <f t="shared" si="9"/>
        <v>5.0000000000582077</v>
      </c>
      <c r="G34" s="288">
        <f t="shared" si="8"/>
        <v>0</v>
      </c>
      <c r="H34" s="298" t="s">
        <v>184</v>
      </c>
      <c r="I34" s="299" t="s">
        <v>245</v>
      </c>
    </row>
    <row r="35" spans="1:11">
      <c r="A35" s="294">
        <v>45329</v>
      </c>
      <c r="B35" s="359"/>
      <c r="C35" s="295" t="s">
        <v>199</v>
      </c>
      <c r="D35" s="296">
        <v>45329</v>
      </c>
      <c r="E35" s="296">
        <v>45329</v>
      </c>
      <c r="F35" s="297">
        <f t="shared" si="9"/>
        <v>0</v>
      </c>
      <c r="G35" s="288">
        <f t="shared" si="8"/>
        <v>0</v>
      </c>
      <c r="H35" s="298" t="s">
        <v>199</v>
      </c>
      <c r="I35" s="299"/>
    </row>
    <row r="36" spans="1:11">
      <c r="A36" s="294">
        <v>45330</v>
      </c>
      <c r="B36" s="359"/>
      <c r="C36" s="295" t="s">
        <v>199</v>
      </c>
      <c r="D36" s="296">
        <v>45330</v>
      </c>
      <c r="E36" s="296">
        <v>45330</v>
      </c>
      <c r="F36" s="297">
        <f t="shared" si="9"/>
        <v>0</v>
      </c>
      <c r="G36" s="288">
        <f t="shared" si="8"/>
        <v>0</v>
      </c>
      <c r="H36" s="298" t="s">
        <v>199</v>
      </c>
      <c r="I36" s="299"/>
    </row>
    <row r="37" spans="1:11">
      <c r="A37" s="294">
        <v>45331</v>
      </c>
      <c r="B37" s="359"/>
      <c r="C37" s="295" t="s">
        <v>199</v>
      </c>
      <c r="D37" s="296">
        <v>45331</v>
      </c>
      <c r="E37" s="296">
        <v>45331</v>
      </c>
      <c r="F37" s="297">
        <f t="shared" si="9"/>
        <v>0</v>
      </c>
      <c r="G37" s="288">
        <f t="shared" si="8"/>
        <v>0</v>
      </c>
      <c r="H37" s="298" t="s">
        <v>199</v>
      </c>
      <c r="I37" s="299"/>
    </row>
    <row r="38" spans="1:11">
      <c r="A38" s="294">
        <v>45332</v>
      </c>
      <c r="B38" s="359"/>
      <c r="C38" s="295" t="s">
        <v>199</v>
      </c>
      <c r="D38" s="296">
        <v>45332</v>
      </c>
      <c r="E38" s="296">
        <v>45332</v>
      </c>
      <c r="F38" s="297">
        <f t="shared" si="9"/>
        <v>0</v>
      </c>
      <c r="G38" s="288">
        <f t="shared" si="8"/>
        <v>0</v>
      </c>
      <c r="H38" s="298" t="s">
        <v>199</v>
      </c>
      <c r="I38" s="299"/>
    </row>
    <row r="39" spans="1:11">
      <c r="A39" s="294">
        <v>45333</v>
      </c>
      <c r="B39" s="359"/>
      <c r="C39" s="295" t="s">
        <v>201</v>
      </c>
      <c r="D39" s="296">
        <v>45333.166666666664</v>
      </c>
      <c r="E39" s="296">
        <v>45333.999305555553</v>
      </c>
      <c r="F39" s="297">
        <f t="shared" si="9"/>
        <v>19.983333333337214</v>
      </c>
      <c r="G39" s="288">
        <f t="shared" si="8"/>
        <v>0</v>
      </c>
      <c r="H39" s="298" t="s">
        <v>203</v>
      </c>
      <c r="I39" s="299" t="s">
        <v>248</v>
      </c>
      <c r="K39" s="264" t="s">
        <v>246</v>
      </c>
    </row>
    <row r="40" spans="1:11">
      <c r="A40" s="294">
        <v>45334</v>
      </c>
      <c r="B40" s="359"/>
      <c r="C40" s="295" t="s">
        <v>201</v>
      </c>
      <c r="D40" s="296">
        <v>45334</v>
      </c>
      <c r="E40" s="283">
        <f ca="1">NOW()</f>
        <v>45484.461160069448</v>
      </c>
      <c r="F40" s="297">
        <f t="shared" ca="1" si="9"/>
        <v>3611.0678416667506</v>
      </c>
      <c r="G40" s="288">
        <f t="shared" ca="1" si="8"/>
        <v>150</v>
      </c>
      <c r="H40" s="298" t="s">
        <v>203</v>
      </c>
      <c r="I40" s="299" t="s">
        <v>248</v>
      </c>
    </row>
    <row r="41" spans="1:11">
      <c r="A41" s="294">
        <v>45335</v>
      </c>
      <c r="B41" s="359"/>
      <c r="C41" s="295" t="s">
        <v>199</v>
      </c>
      <c r="D41" s="296">
        <v>45335</v>
      </c>
      <c r="E41" s="296">
        <v>45335</v>
      </c>
      <c r="F41" s="297">
        <f t="shared" si="9"/>
        <v>0</v>
      </c>
      <c r="G41" s="288">
        <f t="shared" si="8"/>
        <v>0</v>
      </c>
      <c r="H41" s="298" t="s">
        <v>199</v>
      </c>
      <c r="I41" s="299"/>
    </row>
    <row r="42" spans="1:11">
      <c r="A42" s="294">
        <v>45336</v>
      </c>
      <c r="B42" s="359"/>
      <c r="C42" s="295" t="s">
        <v>199</v>
      </c>
      <c r="D42" s="296">
        <v>45336</v>
      </c>
      <c r="E42" s="296">
        <v>45336</v>
      </c>
      <c r="F42" s="297">
        <f t="shared" si="9"/>
        <v>0</v>
      </c>
      <c r="G42" s="288">
        <f t="shared" si="8"/>
        <v>0</v>
      </c>
      <c r="H42" s="298" t="s">
        <v>199</v>
      </c>
      <c r="I42" s="299"/>
    </row>
    <row r="43" spans="1:11">
      <c r="A43" s="294">
        <v>45337</v>
      </c>
      <c r="B43" s="359"/>
      <c r="C43" s="295" t="s">
        <v>199</v>
      </c>
      <c r="D43" s="296">
        <v>45337</v>
      </c>
      <c r="E43" s="296">
        <v>45337</v>
      </c>
      <c r="F43" s="297">
        <f t="shared" si="9"/>
        <v>0</v>
      </c>
      <c r="G43" s="288">
        <f t="shared" si="8"/>
        <v>0</v>
      </c>
      <c r="H43" s="298" t="s">
        <v>199</v>
      </c>
      <c r="I43" s="299"/>
    </row>
    <row r="44" spans="1:11">
      <c r="A44" s="294">
        <v>45338</v>
      </c>
      <c r="B44" s="359"/>
      <c r="C44" s="295" t="s">
        <v>199</v>
      </c>
      <c r="D44" s="296">
        <v>45338</v>
      </c>
      <c r="E44" s="296">
        <v>45338</v>
      </c>
      <c r="F44" s="297">
        <f t="shared" si="9"/>
        <v>0</v>
      </c>
      <c r="G44" s="288">
        <f t="shared" si="8"/>
        <v>0</v>
      </c>
      <c r="H44" s="298" t="s">
        <v>199</v>
      </c>
      <c r="I44" s="299"/>
    </row>
    <row r="45" spans="1:11">
      <c r="A45" s="294">
        <v>45339</v>
      </c>
      <c r="B45" s="359"/>
      <c r="C45" s="295" t="s">
        <v>199</v>
      </c>
      <c r="D45" s="296">
        <v>45339</v>
      </c>
      <c r="E45" s="296">
        <v>45339</v>
      </c>
      <c r="F45" s="297">
        <f t="shared" si="9"/>
        <v>0</v>
      </c>
      <c r="G45" s="288">
        <f t="shared" si="8"/>
        <v>0</v>
      </c>
      <c r="H45" s="298" t="s">
        <v>199</v>
      </c>
      <c r="I45" s="299"/>
    </row>
    <row r="46" spans="1:11">
      <c r="A46" s="294">
        <v>45340</v>
      </c>
      <c r="B46" s="359"/>
      <c r="C46" s="295" t="s">
        <v>199</v>
      </c>
      <c r="D46" s="296">
        <v>45340</v>
      </c>
      <c r="E46" s="296">
        <v>45340</v>
      </c>
      <c r="F46" s="297">
        <f t="shared" si="9"/>
        <v>0</v>
      </c>
      <c r="G46" s="288">
        <f t="shared" si="8"/>
        <v>0</v>
      </c>
      <c r="H46" s="298" t="s">
        <v>199</v>
      </c>
      <c r="I46" s="299"/>
    </row>
    <row r="47" spans="1:11">
      <c r="A47" s="294">
        <v>45341</v>
      </c>
      <c r="B47" s="359"/>
      <c r="C47" s="295" t="s">
        <v>199</v>
      </c>
      <c r="D47" s="296">
        <v>45341</v>
      </c>
      <c r="E47" s="296">
        <v>45341</v>
      </c>
      <c r="F47" s="297">
        <f t="shared" si="9"/>
        <v>0</v>
      </c>
      <c r="G47" s="288">
        <f t="shared" si="8"/>
        <v>0</v>
      </c>
      <c r="H47" s="298" t="s">
        <v>199</v>
      </c>
      <c r="I47" s="299"/>
    </row>
    <row r="48" spans="1:11">
      <c r="A48" s="294">
        <v>45342</v>
      </c>
      <c r="B48" s="359"/>
      <c r="C48" s="295" t="s">
        <v>199</v>
      </c>
      <c r="D48" s="296">
        <v>45342</v>
      </c>
      <c r="E48" s="296">
        <v>45342</v>
      </c>
      <c r="F48" s="297">
        <f t="shared" si="9"/>
        <v>0</v>
      </c>
      <c r="G48" s="288">
        <f t="shared" si="8"/>
        <v>0</v>
      </c>
      <c r="H48" s="298" t="s">
        <v>199</v>
      </c>
      <c r="I48" s="299"/>
    </row>
    <row r="49" spans="1:9">
      <c r="A49" s="294">
        <v>45343</v>
      </c>
      <c r="B49" s="359"/>
      <c r="C49" s="295" t="s">
        <v>199</v>
      </c>
      <c r="D49" s="296">
        <v>45343</v>
      </c>
      <c r="E49" s="296">
        <v>45343</v>
      </c>
      <c r="F49" s="297">
        <f t="shared" si="9"/>
        <v>0</v>
      </c>
      <c r="G49" s="288">
        <f t="shared" si="8"/>
        <v>0</v>
      </c>
      <c r="H49" s="298" t="s">
        <v>199</v>
      </c>
      <c r="I49" s="299"/>
    </row>
    <row r="50" spans="1:9">
      <c r="A50" s="294">
        <v>45344</v>
      </c>
      <c r="B50" s="359"/>
      <c r="C50" s="295" t="s">
        <v>199</v>
      </c>
      <c r="D50" s="296">
        <v>45344</v>
      </c>
      <c r="E50" s="296">
        <v>45344</v>
      </c>
      <c r="F50" s="297">
        <f t="shared" si="9"/>
        <v>0</v>
      </c>
      <c r="G50" s="288">
        <f t="shared" si="8"/>
        <v>0</v>
      </c>
      <c r="H50" s="298" t="s">
        <v>199</v>
      </c>
      <c r="I50" s="299"/>
    </row>
    <row r="51" spans="1:9">
      <c r="A51" s="294">
        <v>45345</v>
      </c>
      <c r="B51" s="359"/>
      <c r="C51" s="295" t="s">
        <v>199</v>
      </c>
      <c r="D51" s="296">
        <v>45345</v>
      </c>
      <c r="E51" s="296">
        <v>45345</v>
      </c>
      <c r="F51" s="297">
        <f t="shared" si="9"/>
        <v>0</v>
      </c>
      <c r="G51" s="288">
        <f t="shared" si="8"/>
        <v>0</v>
      </c>
      <c r="H51" s="298" t="s">
        <v>199</v>
      </c>
      <c r="I51" s="299"/>
    </row>
    <row r="52" spans="1:9">
      <c r="A52" s="294">
        <v>45346</v>
      </c>
      <c r="B52" s="359"/>
      <c r="C52" s="295" t="s">
        <v>199</v>
      </c>
      <c r="D52" s="296">
        <v>45346</v>
      </c>
      <c r="E52" s="296">
        <v>45346</v>
      </c>
      <c r="F52" s="297">
        <f t="shared" si="9"/>
        <v>0</v>
      </c>
      <c r="G52" s="288">
        <f t="shared" si="8"/>
        <v>0</v>
      </c>
      <c r="H52" s="298" t="s">
        <v>199</v>
      </c>
      <c r="I52" s="299"/>
    </row>
    <row r="53" spans="1:9">
      <c r="A53" s="294">
        <v>45347</v>
      </c>
      <c r="B53" s="359"/>
      <c r="C53" s="295" t="s">
        <v>199</v>
      </c>
      <c r="D53" s="296">
        <v>45347</v>
      </c>
      <c r="E53" s="296">
        <v>45347</v>
      </c>
      <c r="F53" s="297">
        <f t="shared" si="9"/>
        <v>0</v>
      </c>
      <c r="G53" s="288">
        <f t="shared" si="8"/>
        <v>0</v>
      </c>
      <c r="H53" s="298" t="s">
        <v>199</v>
      </c>
      <c r="I53" s="299"/>
    </row>
    <row r="54" spans="1:9">
      <c r="A54" s="294">
        <v>45348</v>
      </c>
      <c r="B54" s="359"/>
      <c r="C54" s="295" t="s">
        <v>199</v>
      </c>
      <c r="D54" s="296">
        <v>45348</v>
      </c>
      <c r="E54" s="296">
        <v>45348</v>
      </c>
      <c r="F54" s="297">
        <f t="shared" si="9"/>
        <v>0</v>
      </c>
      <c r="G54" s="288">
        <f t="shared" si="8"/>
        <v>0</v>
      </c>
      <c r="H54" s="298" t="s">
        <v>199</v>
      </c>
      <c r="I54" s="299"/>
    </row>
    <row r="55" spans="1:9">
      <c r="A55" s="294">
        <v>45349</v>
      </c>
      <c r="B55" s="359"/>
      <c r="C55" s="295" t="s">
        <v>199</v>
      </c>
      <c r="D55" s="296">
        <v>45349</v>
      </c>
      <c r="E55" s="296">
        <v>45349</v>
      </c>
      <c r="F55" s="297">
        <f t="shared" si="9"/>
        <v>0</v>
      </c>
      <c r="G55" s="288">
        <f t="shared" si="8"/>
        <v>0</v>
      </c>
      <c r="H55" s="298" t="s">
        <v>199</v>
      </c>
      <c r="I55" s="299"/>
    </row>
    <row r="56" spans="1:9">
      <c r="A56" s="294">
        <v>45350</v>
      </c>
      <c r="B56" s="359"/>
      <c r="C56" s="295" t="s">
        <v>199</v>
      </c>
      <c r="D56" s="296">
        <v>45350</v>
      </c>
      <c r="E56" s="296">
        <v>45350</v>
      </c>
      <c r="F56" s="297">
        <f t="shared" si="9"/>
        <v>0</v>
      </c>
      <c r="G56" s="288">
        <f t="shared" si="8"/>
        <v>0</v>
      </c>
      <c r="H56" s="298" t="s">
        <v>199</v>
      </c>
      <c r="I56" s="299"/>
    </row>
    <row r="57" spans="1:9">
      <c r="A57" s="294">
        <v>45351</v>
      </c>
      <c r="B57" s="359"/>
      <c r="C57" s="295" t="s">
        <v>199</v>
      </c>
      <c r="D57" s="296">
        <v>45351</v>
      </c>
      <c r="E57" s="296">
        <v>45351</v>
      </c>
      <c r="F57" s="297">
        <f t="shared" si="9"/>
        <v>0</v>
      </c>
      <c r="G57" s="288">
        <f t="shared" si="8"/>
        <v>0</v>
      </c>
      <c r="H57" s="298" t="s">
        <v>199</v>
      </c>
      <c r="I57" s="299"/>
    </row>
    <row r="58" spans="1:9">
      <c r="A58" s="336" t="s">
        <v>66</v>
      </c>
      <c r="B58" s="317"/>
      <c r="C58" s="295"/>
      <c r="D58" s="296"/>
      <c r="E58" s="283"/>
      <c r="F58" s="297">
        <f ca="1">SUM(F29:F40)</f>
        <v>3669.2511750000995</v>
      </c>
      <c r="G58" s="288">
        <f ca="1">F58/24</f>
        <v>152.88546562500414</v>
      </c>
      <c r="H58" s="298"/>
      <c r="I58" s="299"/>
    </row>
    <row r="59" spans="1:9">
      <c r="A59" s="293"/>
      <c r="B59" s="292" t="s">
        <v>35</v>
      </c>
      <c r="C59" s="291"/>
      <c r="D59" s="291"/>
      <c r="E59" s="291"/>
      <c r="F59" s="291"/>
      <c r="G59" s="291"/>
      <c r="H59" s="291"/>
      <c r="I59" s="291"/>
    </row>
    <row r="60" spans="1:9">
      <c r="A60" s="294">
        <v>45323</v>
      </c>
      <c r="B60" s="292"/>
      <c r="C60" s="295" t="s">
        <v>194</v>
      </c>
      <c r="D60" s="296">
        <v>45323.000011574077</v>
      </c>
      <c r="E60" s="296">
        <v>45323.999988425923</v>
      </c>
      <c r="F60" s="297">
        <f>(E60-D60)*24</f>
        <v>23.999444444314577</v>
      </c>
      <c r="G60" s="288">
        <f>F60/24</f>
        <v>0.9999768518464407</v>
      </c>
      <c r="H60" s="298" t="s">
        <v>184</v>
      </c>
      <c r="I60" s="299" t="s">
        <v>245</v>
      </c>
    </row>
    <row r="61" spans="1:9">
      <c r="A61" s="294">
        <v>45324</v>
      </c>
      <c r="B61" s="292"/>
      <c r="C61" s="295" t="s">
        <v>194</v>
      </c>
      <c r="D61" s="296">
        <v>45324.000011574077</v>
      </c>
      <c r="E61" s="296">
        <v>45324.819456018522</v>
      </c>
      <c r="F61" s="297">
        <f>(E61-D61)*24</f>
        <v>19.666666666686069</v>
      </c>
      <c r="G61" s="288">
        <f t="shared" ref="G61:G89" si="10">F61/24</f>
        <v>0.81944444444525288</v>
      </c>
      <c r="H61" s="298" t="s">
        <v>184</v>
      </c>
      <c r="I61" s="299" t="s">
        <v>245</v>
      </c>
    </row>
    <row r="62" spans="1:9">
      <c r="A62" s="294">
        <v>45325</v>
      </c>
      <c r="B62" s="292"/>
      <c r="C62" s="295" t="s">
        <v>199</v>
      </c>
      <c r="D62" s="296">
        <v>45325.000011574077</v>
      </c>
      <c r="E62" s="296">
        <v>45325.000011574077</v>
      </c>
      <c r="F62" s="297">
        <f t="shared" ref="F62:F88" si="11">(E62-D62)*24</f>
        <v>0</v>
      </c>
      <c r="G62" s="288">
        <f t="shared" si="10"/>
        <v>0</v>
      </c>
      <c r="H62" s="298" t="s">
        <v>203</v>
      </c>
      <c r="I62" s="299"/>
    </row>
    <row r="63" spans="1:9">
      <c r="A63" s="294">
        <v>45326</v>
      </c>
      <c r="B63" s="292"/>
      <c r="C63" s="295" t="s">
        <v>192</v>
      </c>
      <c r="D63" s="296">
        <v>45326.041678240741</v>
      </c>
      <c r="E63" s="296">
        <v>45326.499988425923</v>
      </c>
      <c r="F63" s="297">
        <f t="shared" si="11"/>
        <v>10.999444444372784</v>
      </c>
      <c r="G63" s="288">
        <f t="shared" si="10"/>
        <v>0.45831018518219935</v>
      </c>
      <c r="H63" s="298" t="s">
        <v>184</v>
      </c>
      <c r="I63" s="299" t="s">
        <v>140</v>
      </c>
    </row>
    <row r="64" spans="1:9">
      <c r="A64" s="294">
        <v>45327</v>
      </c>
      <c r="B64" s="292"/>
      <c r="C64" s="295" t="s">
        <v>192</v>
      </c>
      <c r="D64" s="296">
        <v>45327.000011574077</v>
      </c>
      <c r="E64" s="296">
        <v>45327.545138888891</v>
      </c>
      <c r="F64" s="297">
        <f t="shared" si="11"/>
        <v>13.083055555529427</v>
      </c>
      <c r="G64" s="288">
        <f t="shared" si="10"/>
        <v>0.54512731481372612</v>
      </c>
      <c r="H64" s="298" t="s">
        <v>184</v>
      </c>
      <c r="I64" s="299" t="s">
        <v>140</v>
      </c>
    </row>
    <row r="65" spans="1:9">
      <c r="A65" s="294">
        <v>45328</v>
      </c>
      <c r="B65" s="292"/>
      <c r="C65" s="295" t="s">
        <v>199</v>
      </c>
      <c r="D65" s="296">
        <v>45328</v>
      </c>
      <c r="E65" s="296">
        <v>45328</v>
      </c>
      <c r="F65" s="297">
        <f t="shared" si="11"/>
        <v>0</v>
      </c>
      <c r="G65" s="288">
        <f t="shared" si="10"/>
        <v>0</v>
      </c>
      <c r="H65" s="298" t="s">
        <v>203</v>
      </c>
      <c r="I65" s="299"/>
    </row>
    <row r="66" spans="1:9">
      <c r="A66" s="294">
        <v>45329</v>
      </c>
      <c r="B66" s="292"/>
      <c r="C66" s="295" t="s">
        <v>199</v>
      </c>
      <c r="D66" s="296">
        <v>45329</v>
      </c>
      <c r="E66" s="296">
        <v>45329</v>
      </c>
      <c r="F66" s="297">
        <f t="shared" si="11"/>
        <v>0</v>
      </c>
      <c r="G66" s="288">
        <f t="shared" si="10"/>
        <v>0</v>
      </c>
      <c r="H66" s="298" t="s">
        <v>203</v>
      </c>
      <c r="I66" s="299"/>
    </row>
    <row r="67" spans="1:9">
      <c r="A67" s="294">
        <v>45330</v>
      </c>
      <c r="B67" s="292"/>
      <c r="C67" s="295" t="s">
        <v>201</v>
      </c>
      <c r="D67" s="296">
        <v>45330.458333333336</v>
      </c>
      <c r="E67" s="296">
        <v>45330.999988425923</v>
      </c>
      <c r="F67" s="297">
        <f t="shared" si="11"/>
        <v>12.999722222099081</v>
      </c>
      <c r="G67" s="288">
        <f t="shared" si="10"/>
        <v>0.5416550925874617</v>
      </c>
      <c r="H67" s="298" t="s">
        <v>203</v>
      </c>
      <c r="I67" s="299"/>
    </row>
    <row r="68" spans="1:9">
      <c r="A68" s="294">
        <v>45331</v>
      </c>
      <c r="B68" s="292"/>
      <c r="C68" s="295" t="s">
        <v>201</v>
      </c>
      <c r="D68" s="296">
        <v>45331</v>
      </c>
      <c r="E68" s="296">
        <v>45331.999988425923</v>
      </c>
      <c r="F68" s="297">
        <f t="shared" si="11"/>
        <v>23.999722222157288</v>
      </c>
      <c r="G68" s="288">
        <f t="shared" si="10"/>
        <v>0.99998842592322035</v>
      </c>
      <c r="H68" s="298" t="s">
        <v>203</v>
      </c>
      <c r="I68" s="299"/>
    </row>
    <row r="69" spans="1:9">
      <c r="A69" s="294">
        <v>45332</v>
      </c>
      <c r="B69" s="292"/>
      <c r="C69" s="295" t="s">
        <v>201</v>
      </c>
      <c r="D69" s="296">
        <v>45332</v>
      </c>
      <c r="E69" s="296">
        <v>45332.999988425923</v>
      </c>
      <c r="F69" s="297">
        <f t="shared" si="11"/>
        <v>23.999722222157288</v>
      </c>
      <c r="G69" s="288">
        <f t="shared" si="10"/>
        <v>0.99998842592322035</v>
      </c>
      <c r="H69" s="298" t="s">
        <v>203</v>
      </c>
      <c r="I69" s="299"/>
    </row>
    <row r="70" spans="1:9">
      <c r="A70" s="294">
        <v>45333</v>
      </c>
      <c r="B70" s="292"/>
      <c r="C70" s="295" t="s">
        <v>201</v>
      </c>
      <c r="D70" s="296">
        <v>45333</v>
      </c>
      <c r="E70" s="296">
        <v>45333.999988425923</v>
      </c>
      <c r="F70" s="297">
        <f t="shared" si="11"/>
        <v>23.999722222157288</v>
      </c>
      <c r="G70" s="288">
        <f t="shared" si="10"/>
        <v>0.99998842592322035</v>
      </c>
      <c r="H70" s="298" t="s">
        <v>203</v>
      </c>
      <c r="I70" s="299"/>
    </row>
    <row r="71" spans="1:9">
      <c r="A71" s="294">
        <v>45334</v>
      </c>
      <c r="B71" s="292"/>
      <c r="C71" s="295" t="s">
        <v>199</v>
      </c>
      <c r="D71" s="296">
        <v>45334</v>
      </c>
      <c r="E71" s="283">
        <f t="shared" ref="E71" ca="1" si="12">NOW()</f>
        <v>45484.461160069448</v>
      </c>
      <c r="F71" s="297">
        <f t="shared" ca="1" si="11"/>
        <v>3611.0678416667506</v>
      </c>
      <c r="G71" s="288">
        <f t="shared" ca="1" si="10"/>
        <v>150.46116006944794</v>
      </c>
      <c r="H71" s="298" t="s">
        <v>199</v>
      </c>
      <c r="I71" s="299"/>
    </row>
    <row r="72" spans="1:9">
      <c r="A72" s="294">
        <v>45335</v>
      </c>
      <c r="B72" s="292"/>
      <c r="C72" s="295" t="s">
        <v>199</v>
      </c>
      <c r="D72" s="296">
        <v>45335</v>
      </c>
      <c r="E72" s="296">
        <v>45335</v>
      </c>
      <c r="F72" s="297">
        <f t="shared" si="11"/>
        <v>0</v>
      </c>
      <c r="G72" s="288">
        <f t="shared" si="10"/>
        <v>0</v>
      </c>
      <c r="H72" s="298" t="s">
        <v>199</v>
      </c>
      <c r="I72" s="299"/>
    </row>
    <row r="73" spans="1:9">
      <c r="A73" s="294">
        <v>45336</v>
      </c>
      <c r="B73" s="292"/>
      <c r="C73" s="295" t="s">
        <v>199</v>
      </c>
      <c r="D73" s="296">
        <v>45336</v>
      </c>
      <c r="E73" s="296">
        <v>45336</v>
      </c>
      <c r="F73" s="297">
        <f t="shared" si="11"/>
        <v>0</v>
      </c>
      <c r="G73" s="288">
        <f t="shared" si="10"/>
        <v>0</v>
      </c>
      <c r="H73" s="298" t="s">
        <v>199</v>
      </c>
      <c r="I73" s="299"/>
    </row>
    <row r="74" spans="1:9">
      <c r="A74" s="294">
        <v>45337</v>
      </c>
      <c r="B74" s="292"/>
      <c r="C74" s="295" t="s">
        <v>199</v>
      </c>
      <c r="D74" s="296">
        <v>45337</v>
      </c>
      <c r="E74" s="296">
        <v>45337</v>
      </c>
      <c r="F74" s="297">
        <f t="shared" si="11"/>
        <v>0</v>
      </c>
      <c r="G74" s="288">
        <f t="shared" si="10"/>
        <v>0</v>
      </c>
      <c r="H74" s="298" t="s">
        <v>199</v>
      </c>
      <c r="I74" s="299"/>
    </row>
    <row r="75" spans="1:9">
      <c r="A75" s="294">
        <v>45338</v>
      </c>
      <c r="B75" s="292"/>
      <c r="C75" s="295" t="s">
        <v>199</v>
      </c>
      <c r="D75" s="296">
        <v>45338</v>
      </c>
      <c r="E75" s="296">
        <v>45338</v>
      </c>
      <c r="F75" s="297">
        <f t="shared" si="11"/>
        <v>0</v>
      </c>
      <c r="G75" s="288">
        <f t="shared" si="10"/>
        <v>0</v>
      </c>
      <c r="H75" s="298" t="s">
        <v>199</v>
      </c>
      <c r="I75" s="299"/>
    </row>
    <row r="76" spans="1:9">
      <c r="A76" s="294">
        <v>45339</v>
      </c>
      <c r="B76" s="292"/>
      <c r="C76" s="295" t="s">
        <v>199</v>
      </c>
      <c r="D76" s="296">
        <v>45339</v>
      </c>
      <c r="E76" s="296">
        <v>45339</v>
      </c>
      <c r="F76" s="297">
        <f t="shared" si="11"/>
        <v>0</v>
      </c>
      <c r="G76" s="288">
        <f t="shared" si="10"/>
        <v>0</v>
      </c>
      <c r="H76" s="298" t="s">
        <v>199</v>
      </c>
      <c r="I76" s="299"/>
    </row>
    <row r="77" spans="1:9">
      <c r="A77" s="294">
        <v>45340</v>
      </c>
      <c r="B77" s="292"/>
      <c r="C77" s="295" t="s">
        <v>199</v>
      </c>
      <c r="D77" s="296">
        <v>45340</v>
      </c>
      <c r="E77" s="296">
        <v>45340</v>
      </c>
      <c r="F77" s="297">
        <f t="shared" si="11"/>
        <v>0</v>
      </c>
      <c r="G77" s="288">
        <f t="shared" si="10"/>
        <v>0</v>
      </c>
      <c r="H77" s="298" t="s">
        <v>199</v>
      </c>
      <c r="I77" s="299"/>
    </row>
    <row r="78" spans="1:9">
      <c r="A78" s="294">
        <v>45341</v>
      </c>
      <c r="B78" s="292"/>
      <c r="C78" s="295" t="s">
        <v>199</v>
      </c>
      <c r="D78" s="296">
        <v>45341</v>
      </c>
      <c r="E78" s="296">
        <v>45341</v>
      </c>
      <c r="F78" s="297">
        <f t="shared" si="11"/>
        <v>0</v>
      </c>
      <c r="G78" s="288">
        <f t="shared" si="10"/>
        <v>0</v>
      </c>
      <c r="H78" s="298" t="s">
        <v>199</v>
      </c>
      <c r="I78" s="299"/>
    </row>
    <row r="79" spans="1:9">
      <c r="A79" s="294">
        <v>45342</v>
      </c>
      <c r="B79" s="292"/>
      <c r="C79" s="295" t="s">
        <v>199</v>
      </c>
      <c r="D79" s="296">
        <v>45342</v>
      </c>
      <c r="E79" s="296">
        <v>45342</v>
      </c>
      <c r="F79" s="297">
        <f t="shared" si="11"/>
        <v>0</v>
      </c>
      <c r="G79" s="288">
        <f t="shared" si="10"/>
        <v>0</v>
      </c>
      <c r="H79" s="298" t="s">
        <v>199</v>
      </c>
      <c r="I79" s="299"/>
    </row>
    <row r="80" spans="1:9">
      <c r="A80" s="294">
        <v>45343</v>
      </c>
      <c r="B80" s="292"/>
      <c r="C80" s="295" t="s">
        <v>199</v>
      </c>
      <c r="D80" s="296">
        <v>45343</v>
      </c>
      <c r="E80" s="296">
        <v>45343</v>
      </c>
      <c r="F80" s="297">
        <f t="shared" si="11"/>
        <v>0</v>
      </c>
      <c r="G80" s="288">
        <f t="shared" si="10"/>
        <v>0</v>
      </c>
      <c r="H80" s="298" t="s">
        <v>199</v>
      </c>
      <c r="I80" s="299"/>
    </row>
    <row r="81" spans="1:9">
      <c r="A81" s="294">
        <v>45344</v>
      </c>
      <c r="B81" s="292"/>
      <c r="C81" s="295" t="s">
        <v>199</v>
      </c>
      <c r="D81" s="296">
        <v>45344</v>
      </c>
      <c r="E81" s="296">
        <v>45344</v>
      </c>
      <c r="F81" s="297">
        <f t="shared" si="11"/>
        <v>0</v>
      </c>
      <c r="G81" s="288">
        <f t="shared" si="10"/>
        <v>0</v>
      </c>
      <c r="H81" s="298" t="s">
        <v>199</v>
      </c>
      <c r="I81" s="299"/>
    </row>
    <row r="82" spans="1:9">
      <c r="A82" s="294">
        <v>45345</v>
      </c>
      <c r="B82" s="292"/>
      <c r="C82" s="295" t="s">
        <v>199</v>
      </c>
      <c r="D82" s="296">
        <v>45345</v>
      </c>
      <c r="E82" s="296">
        <v>45345</v>
      </c>
      <c r="F82" s="297">
        <f t="shared" si="11"/>
        <v>0</v>
      </c>
      <c r="G82" s="288">
        <f t="shared" si="10"/>
        <v>0</v>
      </c>
      <c r="H82" s="298" t="s">
        <v>199</v>
      </c>
      <c r="I82" s="299"/>
    </row>
    <row r="83" spans="1:9">
      <c r="A83" s="294">
        <v>45346</v>
      </c>
      <c r="B83" s="292"/>
      <c r="C83" s="295" t="s">
        <v>199</v>
      </c>
      <c r="D83" s="296">
        <v>45346</v>
      </c>
      <c r="E83" s="296">
        <v>45346</v>
      </c>
      <c r="F83" s="297">
        <f t="shared" si="11"/>
        <v>0</v>
      </c>
      <c r="G83" s="288">
        <f t="shared" si="10"/>
        <v>0</v>
      </c>
      <c r="H83" s="298" t="s">
        <v>199</v>
      </c>
      <c r="I83" s="299"/>
    </row>
    <row r="84" spans="1:9">
      <c r="A84" s="294">
        <v>45347</v>
      </c>
      <c r="B84" s="292"/>
      <c r="C84" s="295" t="s">
        <v>199</v>
      </c>
      <c r="D84" s="296">
        <v>45347</v>
      </c>
      <c r="E84" s="296">
        <v>45347</v>
      </c>
      <c r="F84" s="297">
        <f t="shared" si="11"/>
        <v>0</v>
      </c>
      <c r="G84" s="288">
        <f t="shared" si="10"/>
        <v>0</v>
      </c>
      <c r="H84" s="298" t="s">
        <v>199</v>
      </c>
      <c r="I84" s="299"/>
    </row>
    <row r="85" spans="1:9">
      <c r="A85" s="294">
        <v>45348</v>
      </c>
      <c r="B85" s="292"/>
      <c r="C85" s="295" t="s">
        <v>199</v>
      </c>
      <c r="D85" s="296">
        <v>45348</v>
      </c>
      <c r="E85" s="296">
        <v>45348</v>
      </c>
      <c r="F85" s="297">
        <f t="shared" si="11"/>
        <v>0</v>
      </c>
      <c r="G85" s="288">
        <f t="shared" si="10"/>
        <v>0</v>
      </c>
      <c r="H85" s="298" t="s">
        <v>199</v>
      </c>
      <c r="I85" s="299"/>
    </row>
    <row r="86" spans="1:9">
      <c r="A86" s="294">
        <v>45349</v>
      </c>
      <c r="B86" s="292"/>
      <c r="C86" s="295" t="s">
        <v>199</v>
      </c>
      <c r="D86" s="296">
        <v>45349</v>
      </c>
      <c r="E86" s="296">
        <v>45349</v>
      </c>
      <c r="F86" s="297">
        <f t="shared" si="11"/>
        <v>0</v>
      </c>
      <c r="G86" s="288">
        <f t="shared" si="10"/>
        <v>0</v>
      </c>
      <c r="H86" s="298" t="s">
        <v>199</v>
      </c>
      <c r="I86" s="299"/>
    </row>
    <row r="87" spans="1:9">
      <c r="A87" s="294">
        <v>45350</v>
      </c>
      <c r="B87" s="292"/>
      <c r="C87" s="295" t="s">
        <v>199</v>
      </c>
      <c r="D87" s="296">
        <v>45350</v>
      </c>
      <c r="E87" s="296">
        <v>45350</v>
      </c>
      <c r="F87" s="297">
        <f t="shared" si="11"/>
        <v>0</v>
      </c>
      <c r="G87" s="288">
        <f t="shared" si="10"/>
        <v>0</v>
      </c>
      <c r="H87" s="298" t="s">
        <v>199</v>
      </c>
      <c r="I87" s="299"/>
    </row>
    <row r="88" spans="1:9">
      <c r="A88" s="294">
        <v>45351</v>
      </c>
      <c r="B88" s="292"/>
      <c r="C88" s="295" t="s">
        <v>199</v>
      </c>
      <c r="D88" s="296">
        <v>45351</v>
      </c>
      <c r="E88" s="296">
        <v>45351</v>
      </c>
      <c r="F88" s="297">
        <f t="shared" si="11"/>
        <v>0</v>
      </c>
      <c r="G88" s="288">
        <f t="shared" si="10"/>
        <v>0</v>
      </c>
      <c r="H88" s="298" t="s">
        <v>199</v>
      </c>
      <c r="I88" s="299"/>
    </row>
    <row r="89" spans="1:9">
      <c r="A89" s="336" t="s">
        <v>66</v>
      </c>
      <c r="B89" s="317"/>
      <c r="C89" s="295"/>
      <c r="D89" s="296"/>
      <c r="E89" s="283"/>
      <c r="F89" s="297">
        <f ca="1">SUM(F60:F88)</f>
        <v>3763.8153416662244</v>
      </c>
      <c r="G89" s="288">
        <f t="shared" ca="1" si="10"/>
        <v>156.82563923609268</v>
      </c>
      <c r="H89" s="298"/>
      <c r="I89" s="299"/>
    </row>
    <row r="90" spans="1:9">
      <c r="A90" s="293"/>
      <c r="B90" s="292" t="s">
        <v>37</v>
      </c>
      <c r="C90" s="291"/>
      <c r="D90" s="291"/>
      <c r="E90" s="291"/>
      <c r="F90" s="291"/>
      <c r="G90" s="291"/>
      <c r="H90" s="291"/>
      <c r="I90" s="291"/>
    </row>
    <row r="91" spans="1:9">
      <c r="A91" s="294">
        <v>45323</v>
      </c>
      <c r="B91" s="292"/>
      <c r="C91" s="295" t="s">
        <v>194</v>
      </c>
      <c r="D91" s="296">
        <v>45323.000011574077</v>
      </c>
      <c r="E91" s="296">
        <v>45324.000011574077</v>
      </c>
      <c r="F91" s="297">
        <f>(E91-D91)*24</f>
        <v>24</v>
      </c>
      <c r="G91" s="288">
        <f>DATEDIF(D91,E91,"D")</f>
        <v>1</v>
      </c>
      <c r="H91" s="298" t="s">
        <v>184</v>
      </c>
      <c r="I91" s="299" t="s">
        <v>245</v>
      </c>
    </row>
    <row r="92" spans="1:9">
      <c r="A92" s="294">
        <v>45324</v>
      </c>
      <c r="B92" s="292"/>
      <c r="C92" s="295" t="s">
        <v>194</v>
      </c>
      <c r="D92" s="296">
        <v>45324.000011574077</v>
      </c>
      <c r="E92" s="296">
        <v>45325.000011574077</v>
      </c>
      <c r="F92" s="297">
        <f>(E92-D92)*24</f>
        <v>24</v>
      </c>
      <c r="G92" s="288">
        <f t="shared" ref="G92:G119" si="13">DATEDIF(D92,E92,"D")</f>
        <v>1</v>
      </c>
      <c r="H92" s="298" t="s">
        <v>184</v>
      </c>
      <c r="I92" s="299" t="s">
        <v>245</v>
      </c>
    </row>
    <row r="93" spans="1:9">
      <c r="A93" s="294">
        <v>45325</v>
      </c>
      <c r="B93" s="292"/>
      <c r="C93" s="295" t="s">
        <v>194</v>
      </c>
      <c r="D93" s="296">
        <v>45325.000011574077</v>
      </c>
      <c r="E93" s="296">
        <v>45326.000011574077</v>
      </c>
      <c r="F93" s="297">
        <f t="shared" ref="F93:F119" si="14">(E93-D93)*24</f>
        <v>24</v>
      </c>
      <c r="G93" s="288">
        <f t="shared" si="13"/>
        <v>1</v>
      </c>
      <c r="H93" s="298" t="s">
        <v>184</v>
      </c>
      <c r="I93" s="299" t="s">
        <v>245</v>
      </c>
    </row>
    <row r="94" spans="1:9">
      <c r="A94" s="294">
        <v>45326</v>
      </c>
      <c r="B94" s="292"/>
      <c r="C94" s="295" t="s">
        <v>194</v>
      </c>
      <c r="D94" s="296">
        <v>45326.000011574077</v>
      </c>
      <c r="E94" s="296">
        <v>45327.000011574077</v>
      </c>
      <c r="F94" s="297">
        <f t="shared" si="14"/>
        <v>24</v>
      </c>
      <c r="G94" s="288">
        <f t="shared" si="13"/>
        <v>1</v>
      </c>
      <c r="H94" s="298" t="s">
        <v>184</v>
      </c>
      <c r="I94" s="299" t="s">
        <v>245</v>
      </c>
    </row>
    <row r="95" spans="1:9">
      <c r="A95" s="294">
        <v>45327</v>
      </c>
      <c r="B95" s="292"/>
      <c r="C95" s="295" t="s">
        <v>194</v>
      </c>
      <c r="D95" s="296">
        <v>45327.000011574077</v>
      </c>
      <c r="E95" s="296">
        <v>45328</v>
      </c>
      <c r="F95" s="297">
        <f t="shared" si="14"/>
        <v>23.999722222157288</v>
      </c>
      <c r="G95" s="288">
        <f t="shared" si="13"/>
        <v>1</v>
      </c>
      <c r="H95" s="298" t="s">
        <v>184</v>
      </c>
      <c r="I95" s="299" t="s">
        <v>245</v>
      </c>
    </row>
    <row r="96" spans="1:9">
      <c r="A96" s="294">
        <v>45328</v>
      </c>
      <c r="B96" s="292"/>
      <c r="C96" s="295" t="s">
        <v>194</v>
      </c>
      <c r="D96" s="296">
        <v>45328</v>
      </c>
      <c r="E96" s="296">
        <v>45329</v>
      </c>
      <c r="F96" s="297">
        <f t="shared" si="14"/>
        <v>24</v>
      </c>
      <c r="G96" s="288">
        <f t="shared" si="13"/>
        <v>1</v>
      </c>
      <c r="H96" s="298" t="s">
        <v>184</v>
      </c>
      <c r="I96" s="299" t="s">
        <v>245</v>
      </c>
    </row>
    <row r="97" spans="1:9">
      <c r="A97" s="294">
        <v>45329</v>
      </c>
      <c r="B97" s="292"/>
      <c r="C97" s="295" t="s">
        <v>194</v>
      </c>
      <c r="D97" s="296">
        <v>45329</v>
      </c>
      <c r="E97" s="296">
        <v>45330</v>
      </c>
      <c r="F97" s="297">
        <f t="shared" si="14"/>
        <v>24</v>
      </c>
      <c r="G97" s="288">
        <f t="shared" si="13"/>
        <v>1</v>
      </c>
      <c r="H97" s="298" t="s">
        <v>184</v>
      </c>
      <c r="I97" s="299" t="s">
        <v>245</v>
      </c>
    </row>
    <row r="98" spans="1:9">
      <c r="A98" s="294">
        <v>45330</v>
      </c>
      <c r="B98" s="292"/>
      <c r="C98" s="295" t="s">
        <v>194</v>
      </c>
      <c r="D98" s="296">
        <v>45330</v>
      </c>
      <c r="E98" s="296">
        <v>45331</v>
      </c>
      <c r="F98" s="297">
        <f t="shared" si="14"/>
        <v>24</v>
      </c>
      <c r="G98" s="288">
        <f t="shared" si="13"/>
        <v>1</v>
      </c>
      <c r="H98" s="298" t="s">
        <v>184</v>
      </c>
      <c r="I98" s="299" t="s">
        <v>245</v>
      </c>
    </row>
    <row r="99" spans="1:9">
      <c r="A99" s="294">
        <v>45331</v>
      </c>
      <c r="B99" s="292"/>
      <c r="C99" s="295" t="s">
        <v>194</v>
      </c>
      <c r="D99" s="296">
        <v>45331</v>
      </c>
      <c r="E99" s="296">
        <v>45332</v>
      </c>
      <c r="F99" s="297">
        <f t="shared" si="14"/>
        <v>24</v>
      </c>
      <c r="G99" s="288">
        <f t="shared" si="13"/>
        <v>1</v>
      </c>
      <c r="H99" s="298" t="s">
        <v>184</v>
      </c>
      <c r="I99" s="299" t="s">
        <v>245</v>
      </c>
    </row>
    <row r="100" spans="1:9">
      <c r="A100" s="294">
        <v>45332</v>
      </c>
      <c r="B100" s="292"/>
      <c r="C100" s="295" t="s">
        <v>194</v>
      </c>
      <c r="D100" s="296">
        <v>45332</v>
      </c>
      <c r="E100" s="296">
        <v>45333</v>
      </c>
      <c r="F100" s="297">
        <f t="shared" si="14"/>
        <v>24</v>
      </c>
      <c r="G100" s="288">
        <f t="shared" si="13"/>
        <v>1</v>
      </c>
      <c r="H100" s="298" t="s">
        <v>184</v>
      </c>
      <c r="I100" s="299" t="s">
        <v>245</v>
      </c>
    </row>
    <row r="101" spans="1:9">
      <c r="A101" s="294">
        <v>45333</v>
      </c>
      <c r="B101" s="292"/>
      <c r="C101" s="295" t="s">
        <v>194</v>
      </c>
      <c r="D101" s="296">
        <v>45333</v>
      </c>
      <c r="E101" s="296">
        <v>45334</v>
      </c>
      <c r="F101" s="297">
        <f t="shared" si="14"/>
        <v>24</v>
      </c>
      <c r="G101" s="288">
        <f t="shared" si="13"/>
        <v>1</v>
      </c>
      <c r="H101" s="298" t="s">
        <v>184</v>
      </c>
      <c r="I101" s="299" t="s">
        <v>245</v>
      </c>
    </row>
    <row r="102" spans="1:9">
      <c r="A102" s="294">
        <v>45334</v>
      </c>
      <c r="B102" s="292"/>
      <c r="C102" s="295" t="s">
        <v>194</v>
      </c>
      <c r="D102" s="296">
        <v>45334</v>
      </c>
      <c r="E102" s="283">
        <f t="shared" ref="E102" ca="1" si="15">NOW()</f>
        <v>45484.461160069448</v>
      </c>
      <c r="F102" s="297">
        <f t="shared" ca="1" si="14"/>
        <v>3611.0678416667506</v>
      </c>
      <c r="G102" s="288">
        <f t="shared" ca="1" si="13"/>
        <v>150</v>
      </c>
      <c r="H102" s="298" t="s">
        <v>184</v>
      </c>
      <c r="I102" s="299" t="s">
        <v>245</v>
      </c>
    </row>
    <row r="103" spans="1:9">
      <c r="A103" s="294">
        <v>45335</v>
      </c>
      <c r="B103" s="292"/>
      <c r="C103" s="295" t="s">
        <v>199</v>
      </c>
      <c r="D103" s="296">
        <v>45335</v>
      </c>
      <c r="E103" s="296">
        <v>45335</v>
      </c>
      <c r="F103" s="297">
        <f t="shared" si="14"/>
        <v>0</v>
      </c>
      <c r="G103" s="288">
        <f t="shared" si="13"/>
        <v>0</v>
      </c>
      <c r="H103" s="298" t="s">
        <v>203</v>
      </c>
      <c r="I103" s="299"/>
    </row>
    <row r="104" spans="1:9">
      <c r="A104" s="294">
        <v>45336</v>
      </c>
      <c r="B104" s="292"/>
      <c r="C104" s="295" t="s">
        <v>199</v>
      </c>
      <c r="D104" s="296">
        <v>45336</v>
      </c>
      <c r="E104" s="296">
        <v>45336</v>
      </c>
      <c r="F104" s="297">
        <f t="shared" si="14"/>
        <v>0</v>
      </c>
      <c r="G104" s="288">
        <f t="shared" si="13"/>
        <v>0</v>
      </c>
      <c r="H104" s="298" t="s">
        <v>203</v>
      </c>
      <c r="I104" s="299"/>
    </row>
    <row r="105" spans="1:9">
      <c r="A105" s="294">
        <v>45337</v>
      </c>
      <c r="B105" s="292"/>
      <c r="C105" s="295" t="s">
        <v>199</v>
      </c>
      <c r="D105" s="296">
        <v>45337</v>
      </c>
      <c r="E105" s="296">
        <v>45337</v>
      </c>
      <c r="F105" s="297">
        <f t="shared" si="14"/>
        <v>0</v>
      </c>
      <c r="G105" s="288">
        <f t="shared" si="13"/>
        <v>0</v>
      </c>
      <c r="H105" s="298" t="s">
        <v>203</v>
      </c>
      <c r="I105" s="299"/>
    </row>
    <row r="106" spans="1:9">
      <c r="A106" s="294">
        <v>45338</v>
      </c>
      <c r="B106" s="292"/>
      <c r="C106" s="295" t="s">
        <v>199</v>
      </c>
      <c r="D106" s="296">
        <v>45338</v>
      </c>
      <c r="E106" s="296">
        <v>45338</v>
      </c>
      <c r="F106" s="297">
        <f t="shared" si="14"/>
        <v>0</v>
      </c>
      <c r="G106" s="288">
        <f t="shared" si="13"/>
        <v>0</v>
      </c>
      <c r="H106" s="298" t="s">
        <v>203</v>
      </c>
      <c r="I106" s="299"/>
    </row>
    <row r="107" spans="1:9">
      <c r="A107" s="294">
        <v>45339</v>
      </c>
      <c r="B107" s="292"/>
      <c r="C107" s="295" t="s">
        <v>199</v>
      </c>
      <c r="D107" s="296">
        <v>45339</v>
      </c>
      <c r="E107" s="296">
        <v>45339</v>
      </c>
      <c r="F107" s="297">
        <f t="shared" si="14"/>
        <v>0</v>
      </c>
      <c r="G107" s="288">
        <f t="shared" si="13"/>
        <v>0</v>
      </c>
      <c r="H107" s="298" t="s">
        <v>203</v>
      </c>
      <c r="I107" s="299"/>
    </row>
    <row r="108" spans="1:9">
      <c r="A108" s="294">
        <v>45340</v>
      </c>
      <c r="B108" s="292"/>
      <c r="C108" s="295" t="s">
        <v>199</v>
      </c>
      <c r="D108" s="296">
        <v>45340</v>
      </c>
      <c r="E108" s="296">
        <v>45340</v>
      </c>
      <c r="F108" s="297">
        <f t="shared" si="14"/>
        <v>0</v>
      </c>
      <c r="G108" s="288">
        <f t="shared" si="13"/>
        <v>0</v>
      </c>
      <c r="H108" s="298" t="s">
        <v>203</v>
      </c>
      <c r="I108" s="299"/>
    </row>
    <row r="109" spans="1:9">
      <c r="A109" s="294">
        <v>45341</v>
      </c>
      <c r="B109" s="292"/>
      <c r="C109" s="295" t="s">
        <v>199</v>
      </c>
      <c r="D109" s="296">
        <v>45341</v>
      </c>
      <c r="E109" s="296">
        <v>45341</v>
      </c>
      <c r="F109" s="297">
        <f t="shared" si="14"/>
        <v>0</v>
      </c>
      <c r="G109" s="288">
        <f t="shared" si="13"/>
        <v>0</v>
      </c>
      <c r="H109" s="298" t="s">
        <v>203</v>
      </c>
      <c r="I109" s="299"/>
    </row>
    <row r="110" spans="1:9">
      <c r="A110" s="294">
        <v>45342</v>
      </c>
      <c r="B110" s="292"/>
      <c r="C110" s="295" t="s">
        <v>199</v>
      </c>
      <c r="D110" s="296">
        <v>45342</v>
      </c>
      <c r="E110" s="296">
        <v>45342</v>
      </c>
      <c r="F110" s="297">
        <f t="shared" si="14"/>
        <v>0</v>
      </c>
      <c r="G110" s="288">
        <f t="shared" si="13"/>
        <v>0</v>
      </c>
      <c r="H110" s="298" t="s">
        <v>203</v>
      </c>
      <c r="I110" s="299"/>
    </row>
    <row r="111" spans="1:9">
      <c r="A111" s="294">
        <v>45343</v>
      </c>
      <c r="B111" s="292"/>
      <c r="C111" s="295" t="s">
        <v>199</v>
      </c>
      <c r="D111" s="296">
        <v>45343</v>
      </c>
      <c r="E111" s="296">
        <v>45343</v>
      </c>
      <c r="F111" s="297">
        <f t="shared" si="14"/>
        <v>0</v>
      </c>
      <c r="G111" s="288">
        <f t="shared" si="13"/>
        <v>0</v>
      </c>
      <c r="H111" s="298" t="s">
        <v>203</v>
      </c>
      <c r="I111" s="299"/>
    </row>
    <row r="112" spans="1:9">
      <c r="A112" s="294">
        <v>45344</v>
      </c>
      <c r="B112" s="292"/>
      <c r="C112" s="295" t="s">
        <v>199</v>
      </c>
      <c r="D112" s="296">
        <v>45344</v>
      </c>
      <c r="E112" s="296">
        <v>45344</v>
      </c>
      <c r="F112" s="297">
        <f t="shared" si="14"/>
        <v>0</v>
      </c>
      <c r="G112" s="288">
        <f t="shared" si="13"/>
        <v>0</v>
      </c>
      <c r="H112" s="298" t="s">
        <v>203</v>
      </c>
      <c r="I112" s="299"/>
    </row>
    <row r="113" spans="1:9">
      <c r="A113" s="294">
        <v>45345</v>
      </c>
      <c r="B113" s="292"/>
      <c r="C113" s="295" t="s">
        <v>199</v>
      </c>
      <c r="D113" s="296">
        <v>45345</v>
      </c>
      <c r="E113" s="296">
        <v>45345</v>
      </c>
      <c r="F113" s="297">
        <f t="shared" si="14"/>
        <v>0</v>
      </c>
      <c r="G113" s="288">
        <f t="shared" si="13"/>
        <v>0</v>
      </c>
      <c r="H113" s="298" t="s">
        <v>203</v>
      </c>
      <c r="I113" s="299"/>
    </row>
    <row r="114" spans="1:9">
      <c r="A114" s="294">
        <v>45346</v>
      </c>
      <c r="B114" s="292"/>
      <c r="C114" s="295" t="s">
        <v>199</v>
      </c>
      <c r="D114" s="296">
        <v>45346</v>
      </c>
      <c r="E114" s="296">
        <v>45346</v>
      </c>
      <c r="F114" s="297">
        <f t="shared" si="14"/>
        <v>0</v>
      </c>
      <c r="G114" s="288">
        <f t="shared" si="13"/>
        <v>0</v>
      </c>
      <c r="H114" s="298" t="s">
        <v>203</v>
      </c>
      <c r="I114" s="299"/>
    </row>
    <row r="115" spans="1:9">
      <c r="A115" s="294">
        <v>45347</v>
      </c>
      <c r="B115" s="292"/>
      <c r="C115" s="295" t="s">
        <v>199</v>
      </c>
      <c r="D115" s="296">
        <v>45347</v>
      </c>
      <c r="E115" s="296">
        <v>45347</v>
      </c>
      <c r="F115" s="297">
        <f t="shared" si="14"/>
        <v>0</v>
      </c>
      <c r="G115" s="288">
        <f t="shared" si="13"/>
        <v>0</v>
      </c>
      <c r="H115" s="298" t="s">
        <v>203</v>
      </c>
      <c r="I115" s="299"/>
    </row>
    <row r="116" spans="1:9">
      <c r="A116" s="294">
        <v>45348</v>
      </c>
      <c r="B116" s="292"/>
      <c r="C116" s="295" t="s">
        <v>199</v>
      </c>
      <c r="D116" s="296">
        <v>45348</v>
      </c>
      <c r="E116" s="296">
        <v>45348</v>
      </c>
      <c r="F116" s="297">
        <f t="shared" si="14"/>
        <v>0</v>
      </c>
      <c r="G116" s="288">
        <f t="shared" si="13"/>
        <v>0</v>
      </c>
      <c r="H116" s="298" t="s">
        <v>203</v>
      </c>
      <c r="I116" s="299"/>
    </row>
    <row r="117" spans="1:9">
      <c r="A117" s="294">
        <v>45349</v>
      </c>
      <c r="B117" s="292"/>
      <c r="C117" s="295" t="s">
        <v>199</v>
      </c>
      <c r="D117" s="296">
        <v>45349</v>
      </c>
      <c r="E117" s="296">
        <v>45349</v>
      </c>
      <c r="F117" s="297">
        <f t="shared" si="14"/>
        <v>0</v>
      </c>
      <c r="G117" s="288">
        <f t="shared" si="13"/>
        <v>0</v>
      </c>
      <c r="H117" s="298" t="s">
        <v>203</v>
      </c>
      <c r="I117" s="299"/>
    </row>
    <row r="118" spans="1:9">
      <c r="A118" s="294">
        <v>45350</v>
      </c>
      <c r="B118" s="292"/>
      <c r="C118" s="295" t="s">
        <v>199</v>
      </c>
      <c r="D118" s="296">
        <v>45350</v>
      </c>
      <c r="E118" s="296">
        <v>45350</v>
      </c>
      <c r="F118" s="297">
        <f t="shared" si="14"/>
        <v>0</v>
      </c>
      <c r="G118" s="288">
        <f t="shared" si="13"/>
        <v>0</v>
      </c>
      <c r="H118" s="298" t="s">
        <v>203</v>
      </c>
      <c r="I118" s="299"/>
    </row>
    <row r="119" spans="1:9">
      <c r="A119" s="294">
        <v>45351</v>
      </c>
      <c r="B119" s="292"/>
      <c r="C119" s="295" t="s">
        <v>199</v>
      </c>
      <c r="D119" s="296">
        <v>45351</v>
      </c>
      <c r="E119" s="296">
        <v>45351</v>
      </c>
      <c r="F119" s="297">
        <f t="shared" si="14"/>
        <v>0</v>
      </c>
      <c r="G119" s="288">
        <f t="shared" si="13"/>
        <v>0</v>
      </c>
      <c r="H119" s="298" t="s">
        <v>203</v>
      </c>
      <c r="I119" s="299"/>
    </row>
    <row r="120" spans="1:9">
      <c r="A120" s="336" t="s">
        <v>66</v>
      </c>
      <c r="B120" s="317"/>
      <c r="C120" s="295"/>
      <c r="D120" s="296"/>
      <c r="E120" s="283"/>
      <c r="F120" s="297">
        <f ca="1">SUM(F91:F119)</f>
        <v>3875.0675638889079</v>
      </c>
      <c r="G120" s="288">
        <f>DATEDIF(D120,E120,"D")</f>
        <v>0</v>
      </c>
      <c r="H120" s="298"/>
      <c r="I120" s="299"/>
    </row>
    <row r="121" spans="1:9">
      <c r="A121" s="293"/>
      <c r="B121" s="292" t="s">
        <v>38</v>
      </c>
      <c r="C121" s="291"/>
      <c r="D121" s="291"/>
      <c r="E121" s="291"/>
      <c r="F121" s="291"/>
      <c r="G121" s="291"/>
      <c r="H121" s="291"/>
      <c r="I121" s="291"/>
    </row>
    <row r="122" spans="1:9">
      <c r="A122" s="294">
        <v>45323</v>
      </c>
      <c r="B122" s="292"/>
      <c r="C122" s="295" t="s">
        <v>202</v>
      </c>
      <c r="D122" s="296">
        <v>45323.000011574077</v>
      </c>
      <c r="E122" s="296">
        <v>45324.000011574077</v>
      </c>
      <c r="F122" s="297">
        <f>(E122-D122)*24</f>
        <v>24</v>
      </c>
      <c r="G122" s="288">
        <f>DATEDIF(D122,E122,"D")</f>
        <v>1</v>
      </c>
      <c r="H122" s="298" t="s">
        <v>203</v>
      </c>
      <c r="I122" s="299" t="s">
        <v>248</v>
      </c>
    </row>
    <row r="123" spans="1:9">
      <c r="A123" s="294">
        <v>45324</v>
      </c>
      <c r="B123" s="292"/>
      <c r="C123" s="295" t="s">
        <v>202</v>
      </c>
      <c r="D123" s="296">
        <v>45324.000011574077</v>
      </c>
      <c r="E123" s="296">
        <v>45325.000011574077</v>
      </c>
      <c r="F123" s="297">
        <f>(E123-D123)*24</f>
        <v>24</v>
      </c>
      <c r="G123" s="288">
        <f t="shared" ref="G123:G150" si="16">DATEDIF(D123,E123,"D")</f>
        <v>1</v>
      </c>
      <c r="H123" s="298" t="s">
        <v>203</v>
      </c>
      <c r="I123" s="299" t="s">
        <v>248</v>
      </c>
    </row>
    <row r="124" spans="1:9">
      <c r="A124" s="294">
        <v>45325</v>
      </c>
      <c r="B124" s="292"/>
      <c r="C124" s="295" t="s">
        <v>190</v>
      </c>
      <c r="D124" s="296">
        <v>45325.429178240738</v>
      </c>
      <c r="E124" s="296">
        <v>45326.000011574077</v>
      </c>
      <c r="F124" s="297">
        <f t="shared" ref="F124:F150" si="17">(E124-D124)*24</f>
        <v>13.700000000128057</v>
      </c>
      <c r="G124" s="288">
        <f t="shared" si="16"/>
        <v>1</v>
      </c>
      <c r="H124" s="298" t="s">
        <v>184</v>
      </c>
      <c r="I124" s="299" t="s">
        <v>249</v>
      </c>
    </row>
    <row r="125" spans="1:9">
      <c r="A125" s="294">
        <v>45326</v>
      </c>
      <c r="B125" s="292"/>
      <c r="C125" s="295" t="s">
        <v>190</v>
      </c>
      <c r="D125" s="296">
        <v>45326.000011574077</v>
      </c>
      <c r="E125" s="296">
        <v>45326.802094907405</v>
      </c>
      <c r="F125" s="297">
        <f t="shared" si="17"/>
        <v>19.249999999883585</v>
      </c>
      <c r="G125" s="288">
        <f t="shared" si="16"/>
        <v>0</v>
      </c>
      <c r="H125" s="298" t="s">
        <v>184</v>
      </c>
      <c r="I125" s="299" t="s">
        <v>249</v>
      </c>
    </row>
    <row r="126" spans="1:9">
      <c r="A126" s="294">
        <v>45327</v>
      </c>
      <c r="B126" s="292"/>
      <c r="C126" s="295" t="s">
        <v>199</v>
      </c>
      <c r="D126" s="296">
        <v>45327.000011574077</v>
      </c>
      <c r="E126" s="296">
        <v>45327.000011574077</v>
      </c>
      <c r="F126" s="297">
        <f t="shared" si="17"/>
        <v>0</v>
      </c>
      <c r="G126" s="288">
        <f t="shared" si="16"/>
        <v>0</v>
      </c>
      <c r="H126" s="298" t="s">
        <v>199</v>
      </c>
      <c r="I126" s="299"/>
    </row>
    <row r="127" spans="1:9">
      <c r="A127" s="294">
        <v>45328</v>
      </c>
      <c r="B127" s="292"/>
      <c r="C127" s="295" t="s">
        <v>199</v>
      </c>
      <c r="D127" s="296">
        <v>45328</v>
      </c>
      <c r="E127" s="296">
        <v>45328</v>
      </c>
      <c r="F127" s="297">
        <f t="shared" si="17"/>
        <v>0</v>
      </c>
      <c r="G127" s="288">
        <f t="shared" si="16"/>
        <v>0</v>
      </c>
      <c r="H127" s="298" t="s">
        <v>199</v>
      </c>
      <c r="I127" s="299"/>
    </row>
    <row r="128" spans="1:9">
      <c r="A128" s="294">
        <v>45329</v>
      </c>
      <c r="B128" s="292"/>
      <c r="C128" s="295" t="s">
        <v>192</v>
      </c>
      <c r="D128" s="296">
        <v>45329.378472222219</v>
      </c>
      <c r="E128" s="296">
        <v>45330</v>
      </c>
      <c r="F128" s="297">
        <f t="shared" si="17"/>
        <v>14.916666666744277</v>
      </c>
      <c r="G128" s="288">
        <f t="shared" si="16"/>
        <v>1</v>
      </c>
      <c r="H128" s="298" t="s">
        <v>184</v>
      </c>
      <c r="I128" s="299" t="s">
        <v>140</v>
      </c>
    </row>
    <row r="129" spans="1:9">
      <c r="A129" s="294">
        <v>45330</v>
      </c>
      <c r="B129" s="292"/>
      <c r="C129" s="295" t="s">
        <v>192</v>
      </c>
      <c r="D129" s="296">
        <v>45330</v>
      </c>
      <c r="E129" s="296">
        <v>45330.647222222222</v>
      </c>
      <c r="F129" s="297">
        <f t="shared" si="17"/>
        <v>15.533333333325572</v>
      </c>
      <c r="G129" s="288">
        <f t="shared" si="16"/>
        <v>0</v>
      </c>
      <c r="H129" s="298" t="s">
        <v>184</v>
      </c>
      <c r="I129" s="299" t="s">
        <v>140</v>
      </c>
    </row>
    <row r="130" spans="1:9">
      <c r="A130" s="294">
        <v>45331</v>
      </c>
      <c r="B130" s="292"/>
      <c r="C130" s="295" t="s">
        <v>199</v>
      </c>
      <c r="D130" s="296">
        <v>45331</v>
      </c>
      <c r="E130" s="296">
        <v>45331</v>
      </c>
      <c r="F130" s="297">
        <f t="shared" si="17"/>
        <v>0</v>
      </c>
      <c r="G130" s="288">
        <f t="shared" si="16"/>
        <v>0</v>
      </c>
      <c r="H130" s="298" t="s">
        <v>184</v>
      </c>
      <c r="I130" s="299"/>
    </row>
    <row r="131" spans="1:9">
      <c r="A131" s="294">
        <v>45332</v>
      </c>
      <c r="B131" s="292"/>
      <c r="C131" s="295" t="s">
        <v>199</v>
      </c>
      <c r="D131" s="296">
        <v>45332</v>
      </c>
      <c r="E131" s="296">
        <v>45332</v>
      </c>
      <c r="F131" s="297">
        <f t="shared" si="17"/>
        <v>0</v>
      </c>
      <c r="G131" s="288">
        <f t="shared" si="16"/>
        <v>0</v>
      </c>
      <c r="H131" s="298" t="s">
        <v>184</v>
      </c>
      <c r="I131" s="299"/>
    </row>
    <row r="132" spans="1:9">
      <c r="A132" s="294">
        <v>45333</v>
      </c>
      <c r="B132" s="292"/>
      <c r="C132" s="295" t="s">
        <v>202</v>
      </c>
      <c r="D132" s="296">
        <v>45333.510416666664</v>
      </c>
      <c r="E132" s="296">
        <v>45334</v>
      </c>
      <c r="F132" s="297">
        <f t="shared" si="17"/>
        <v>11.750000000058208</v>
      </c>
      <c r="G132" s="288">
        <f t="shared" si="16"/>
        <v>1</v>
      </c>
      <c r="H132" s="298" t="s">
        <v>182</v>
      </c>
      <c r="I132" s="299" t="s">
        <v>250</v>
      </c>
    </row>
    <row r="133" spans="1:9">
      <c r="A133" s="294">
        <v>45334</v>
      </c>
      <c r="B133" s="292"/>
      <c r="C133" s="295" t="s">
        <v>202</v>
      </c>
      <c r="D133" s="296">
        <v>45334</v>
      </c>
      <c r="E133" s="283">
        <f t="shared" ref="E133" ca="1" si="18">NOW()</f>
        <v>45484.461160069448</v>
      </c>
      <c r="F133" s="297">
        <f t="shared" ca="1" si="17"/>
        <v>3611.0678416667506</v>
      </c>
      <c r="G133" s="288">
        <f t="shared" ca="1" si="16"/>
        <v>150</v>
      </c>
      <c r="H133" s="298" t="s">
        <v>203</v>
      </c>
      <c r="I133" s="299" t="s">
        <v>248</v>
      </c>
    </row>
    <row r="134" spans="1:9">
      <c r="A134" s="294">
        <v>45335</v>
      </c>
      <c r="B134" s="292"/>
      <c r="C134" s="295" t="s">
        <v>199</v>
      </c>
      <c r="D134" s="296">
        <v>45335</v>
      </c>
      <c r="E134" s="296">
        <v>45335</v>
      </c>
      <c r="F134" s="297">
        <f t="shared" si="17"/>
        <v>0</v>
      </c>
      <c r="G134" s="288">
        <f t="shared" si="16"/>
        <v>0</v>
      </c>
      <c r="H134" s="298" t="s">
        <v>184</v>
      </c>
      <c r="I134" s="299"/>
    </row>
    <row r="135" spans="1:9">
      <c r="A135" s="294">
        <v>45336</v>
      </c>
      <c r="B135" s="292"/>
      <c r="C135" s="295" t="s">
        <v>199</v>
      </c>
      <c r="D135" s="296">
        <v>45336</v>
      </c>
      <c r="E135" s="296">
        <v>45336</v>
      </c>
      <c r="F135" s="297">
        <f t="shared" si="17"/>
        <v>0</v>
      </c>
      <c r="G135" s="288">
        <f t="shared" si="16"/>
        <v>0</v>
      </c>
      <c r="H135" s="298" t="s">
        <v>184</v>
      </c>
      <c r="I135" s="299"/>
    </row>
    <row r="136" spans="1:9">
      <c r="A136" s="294">
        <v>45337</v>
      </c>
      <c r="B136" s="292"/>
      <c r="C136" s="295" t="s">
        <v>199</v>
      </c>
      <c r="D136" s="296">
        <v>45337</v>
      </c>
      <c r="E136" s="296">
        <v>45337</v>
      </c>
      <c r="F136" s="297">
        <f t="shared" si="17"/>
        <v>0</v>
      </c>
      <c r="G136" s="288">
        <f t="shared" si="16"/>
        <v>0</v>
      </c>
      <c r="H136" s="298" t="s">
        <v>184</v>
      </c>
      <c r="I136" s="299"/>
    </row>
    <row r="137" spans="1:9">
      <c r="A137" s="294">
        <v>45338</v>
      </c>
      <c r="B137" s="292"/>
      <c r="C137" s="295" t="s">
        <v>199</v>
      </c>
      <c r="D137" s="296">
        <v>45338</v>
      </c>
      <c r="E137" s="296">
        <v>45338</v>
      </c>
      <c r="F137" s="297">
        <f t="shared" si="17"/>
        <v>0</v>
      </c>
      <c r="G137" s="288">
        <f t="shared" si="16"/>
        <v>0</v>
      </c>
      <c r="H137" s="298" t="s">
        <v>184</v>
      </c>
      <c r="I137" s="299"/>
    </row>
    <row r="138" spans="1:9">
      <c r="A138" s="294">
        <v>45339</v>
      </c>
      <c r="B138" s="292"/>
      <c r="C138" s="295" t="s">
        <v>199</v>
      </c>
      <c r="D138" s="296">
        <v>45339</v>
      </c>
      <c r="E138" s="296">
        <v>45339</v>
      </c>
      <c r="F138" s="297">
        <f t="shared" si="17"/>
        <v>0</v>
      </c>
      <c r="G138" s="288">
        <f t="shared" si="16"/>
        <v>0</v>
      </c>
      <c r="H138" s="298" t="s">
        <v>184</v>
      </c>
      <c r="I138" s="299"/>
    </row>
    <row r="139" spans="1:9">
      <c r="A139" s="294">
        <v>45340</v>
      </c>
      <c r="B139" s="292"/>
      <c r="C139" s="295" t="s">
        <v>199</v>
      </c>
      <c r="D139" s="296">
        <v>45340</v>
      </c>
      <c r="E139" s="296">
        <v>45340</v>
      </c>
      <c r="F139" s="297">
        <f t="shared" si="17"/>
        <v>0</v>
      </c>
      <c r="G139" s="288">
        <f t="shared" si="16"/>
        <v>0</v>
      </c>
      <c r="H139" s="298" t="s">
        <v>184</v>
      </c>
      <c r="I139" s="299"/>
    </row>
    <row r="140" spans="1:9">
      <c r="A140" s="294">
        <v>45341</v>
      </c>
      <c r="B140" s="292"/>
      <c r="C140" s="295" t="s">
        <v>199</v>
      </c>
      <c r="D140" s="296">
        <v>45341</v>
      </c>
      <c r="E140" s="296">
        <v>45341</v>
      </c>
      <c r="F140" s="297">
        <f t="shared" si="17"/>
        <v>0</v>
      </c>
      <c r="G140" s="288">
        <f t="shared" si="16"/>
        <v>0</v>
      </c>
      <c r="H140" s="298" t="s">
        <v>184</v>
      </c>
      <c r="I140" s="299"/>
    </row>
    <row r="141" spans="1:9">
      <c r="A141" s="294">
        <v>45342</v>
      </c>
      <c r="B141" s="292"/>
      <c r="C141" s="295" t="s">
        <v>199</v>
      </c>
      <c r="D141" s="296">
        <v>45342</v>
      </c>
      <c r="E141" s="296">
        <v>45342</v>
      </c>
      <c r="F141" s="297">
        <f t="shared" si="17"/>
        <v>0</v>
      </c>
      <c r="G141" s="288">
        <f t="shared" si="16"/>
        <v>0</v>
      </c>
      <c r="H141" s="298" t="s">
        <v>184</v>
      </c>
      <c r="I141" s="299"/>
    </row>
    <row r="142" spans="1:9">
      <c r="A142" s="294">
        <v>45343</v>
      </c>
      <c r="B142" s="292"/>
      <c r="C142" s="295" t="s">
        <v>199</v>
      </c>
      <c r="D142" s="296">
        <v>45343</v>
      </c>
      <c r="E142" s="296">
        <v>45343</v>
      </c>
      <c r="F142" s="297">
        <f t="shared" si="17"/>
        <v>0</v>
      </c>
      <c r="G142" s="288">
        <f t="shared" si="16"/>
        <v>0</v>
      </c>
      <c r="H142" s="298" t="s">
        <v>184</v>
      </c>
      <c r="I142" s="299"/>
    </row>
    <row r="143" spans="1:9">
      <c r="A143" s="294">
        <v>45344</v>
      </c>
      <c r="B143" s="292"/>
      <c r="C143" s="295" t="s">
        <v>199</v>
      </c>
      <c r="D143" s="296">
        <v>45344</v>
      </c>
      <c r="E143" s="296">
        <v>45344</v>
      </c>
      <c r="F143" s="297">
        <f t="shared" si="17"/>
        <v>0</v>
      </c>
      <c r="G143" s="288">
        <f t="shared" si="16"/>
        <v>0</v>
      </c>
      <c r="H143" s="298" t="s">
        <v>184</v>
      </c>
      <c r="I143" s="299"/>
    </row>
    <row r="144" spans="1:9">
      <c r="A144" s="294">
        <v>45345</v>
      </c>
      <c r="B144" s="292"/>
      <c r="C144" s="295" t="s">
        <v>199</v>
      </c>
      <c r="D144" s="296">
        <v>45345</v>
      </c>
      <c r="E144" s="296">
        <v>45345</v>
      </c>
      <c r="F144" s="297">
        <f t="shared" si="17"/>
        <v>0</v>
      </c>
      <c r="G144" s="288">
        <f t="shared" si="16"/>
        <v>0</v>
      </c>
      <c r="H144" s="298" t="s">
        <v>184</v>
      </c>
      <c r="I144" s="299"/>
    </row>
    <row r="145" spans="1:9">
      <c r="A145" s="294">
        <v>45346</v>
      </c>
      <c r="B145" s="292"/>
      <c r="C145" s="295" t="s">
        <v>199</v>
      </c>
      <c r="D145" s="296">
        <v>45346</v>
      </c>
      <c r="E145" s="296">
        <v>45346</v>
      </c>
      <c r="F145" s="297">
        <f t="shared" si="17"/>
        <v>0</v>
      </c>
      <c r="G145" s="288">
        <f t="shared" si="16"/>
        <v>0</v>
      </c>
      <c r="H145" s="298" t="s">
        <v>184</v>
      </c>
      <c r="I145" s="299"/>
    </row>
    <row r="146" spans="1:9">
      <c r="A146" s="294">
        <v>45347</v>
      </c>
      <c r="B146" s="292"/>
      <c r="C146" s="295" t="s">
        <v>199</v>
      </c>
      <c r="D146" s="296">
        <v>45347</v>
      </c>
      <c r="E146" s="296">
        <v>45347</v>
      </c>
      <c r="F146" s="297">
        <f t="shared" si="17"/>
        <v>0</v>
      </c>
      <c r="G146" s="288">
        <f t="shared" si="16"/>
        <v>0</v>
      </c>
      <c r="H146" s="298" t="s">
        <v>184</v>
      </c>
      <c r="I146" s="299"/>
    </row>
    <row r="147" spans="1:9">
      <c r="A147" s="294">
        <v>45348</v>
      </c>
      <c r="B147" s="292"/>
      <c r="C147" s="295" t="s">
        <v>199</v>
      </c>
      <c r="D147" s="296">
        <v>45348</v>
      </c>
      <c r="E147" s="296">
        <v>45348</v>
      </c>
      <c r="F147" s="297">
        <f t="shared" si="17"/>
        <v>0</v>
      </c>
      <c r="G147" s="288">
        <f t="shared" si="16"/>
        <v>0</v>
      </c>
      <c r="H147" s="298" t="s">
        <v>184</v>
      </c>
      <c r="I147" s="299"/>
    </row>
    <row r="148" spans="1:9">
      <c r="A148" s="294">
        <v>45349</v>
      </c>
      <c r="B148" s="292"/>
      <c r="C148" s="295" t="s">
        <v>199</v>
      </c>
      <c r="D148" s="296">
        <v>45349</v>
      </c>
      <c r="E148" s="296">
        <v>45349</v>
      </c>
      <c r="F148" s="297">
        <f t="shared" si="17"/>
        <v>0</v>
      </c>
      <c r="G148" s="288">
        <f t="shared" si="16"/>
        <v>0</v>
      </c>
      <c r="H148" s="298" t="s">
        <v>184</v>
      </c>
      <c r="I148" s="299"/>
    </row>
    <row r="149" spans="1:9">
      <c r="A149" s="294">
        <v>45350</v>
      </c>
      <c r="B149" s="292"/>
      <c r="C149" s="295" t="s">
        <v>199</v>
      </c>
      <c r="D149" s="296">
        <v>45350</v>
      </c>
      <c r="E149" s="296">
        <v>45350</v>
      </c>
      <c r="F149" s="297">
        <f t="shared" si="17"/>
        <v>0</v>
      </c>
      <c r="G149" s="288">
        <f t="shared" si="16"/>
        <v>0</v>
      </c>
      <c r="H149" s="298" t="s">
        <v>184</v>
      </c>
      <c r="I149" s="299"/>
    </row>
    <row r="150" spans="1:9">
      <c r="A150" s="294">
        <v>45351</v>
      </c>
      <c r="B150" s="292"/>
      <c r="C150" s="295" t="s">
        <v>199</v>
      </c>
      <c r="D150" s="296">
        <v>45351</v>
      </c>
      <c r="E150" s="296">
        <v>45351</v>
      </c>
      <c r="F150" s="297">
        <f t="shared" si="17"/>
        <v>0</v>
      </c>
      <c r="G150" s="288">
        <f t="shared" si="16"/>
        <v>0</v>
      </c>
      <c r="H150" s="298" t="s">
        <v>184</v>
      </c>
      <c r="I150" s="299"/>
    </row>
    <row r="151" spans="1:9">
      <c r="A151" s="336" t="s">
        <v>66</v>
      </c>
      <c r="B151" s="317"/>
      <c r="C151" s="295"/>
      <c r="D151" s="296"/>
      <c r="E151" s="283"/>
      <c r="F151" s="297">
        <f>SUM(F123:F126)</f>
        <v>56.950000000011642</v>
      </c>
      <c r="G151" s="288">
        <f>DATEDIF(D151,E151,"D")</f>
        <v>0</v>
      </c>
      <c r="H151" s="298"/>
      <c r="I151" s="299"/>
    </row>
    <row r="152" spans="1:9">
      <c r="A152" s="293"/>
      <c r="B152" s="292" t="s">
        <v>40</v>
      </c>
      <c r="C152" s="291"/>
      <c r="D152" s="291"/>
      <c r="E152" s="291"/>
      <c r="F152" s="291"/>
      <c r="G152" s="291"/>
      <c r="H152" s="291"/>
      <c r="I152" s="291"/>
    </row>
    <row r="153" spans="1:9">
      <c r="A153" s="294">
        <v>45323</v>
      </c>
      <c r="B153" s="292"/>
      <c r="C153" s="295" t="s">
        <v>199</v>
      </c>
      <c r="D153" s="296">
        <v>45323.000011574077</v>
      </c>
      <c r="E153" s="296">
        <v>45323.999988425923</v>
      </c>
      <c r="F153" s="297">
        <f>(E153-D153)*24</f>
        <v>23.999444444314577</v>
      </c>
      <c r="G153" s="288">
        <f>DATEDIF(D153,E153,"D")</f>
        <v>0</v>
      </c>
      <c r="H153" s="298" t="s">
        <v>203</v>
      </c>
      <c r="I153" s="299" t="s">
        <v>245</v>
      </c>
    </row>
    <row r="154" spans="1:9">
      <c r="A154" s="294">
        <v>45324</v>
      </c>
      <c r="B154" s="292"/>
      <c r="C154" s="295" t="s">
        <v>199</v>
      </c>
      <c r="D154" s="296">
        <v>45324.000011574077</v>
      </c>
      <c r="E154" s="296">
        <v>45324.819456018522</v>
      </c>
      <c r="F154" s="297">
        <f>(E154-D154)*24</f>
        <v>19.666666666686069</v>
      </c>
      <c r="G154" s="288">
        <f t="shared" ref="G154:G181" si="19">DATEDIF(D154,E154,"D")</f>
        <v>0</v>
      </c>
      <c r="H154" s="298" t="s">
        <v>203</v>
      </c>
      <c r="I154" s="299" t="s">
        <v>245</v>
      </c>
    </row>
    <row r="155" spans="1:9">
      <c r="A155" s="294">
        <v>45325</v>
      </c>
      <c r="B155" s="292"/>
      <c r="C155" s="295" t="s">
        <v>199</v>
      </c>
      <c r="D155" s="296">
        <v>45326.000011574077</v>
      </c>
      <c r="E155" s="296">
        <v>45326.000011574077</v>
      </c>
      <c r="F155" s="297">
        <f t="shared" ref="F155:F181" si="20">(E155-D155)*24</f>
        <v>0</v>
      </c>
      <c r="G155" s="288">
        <f t="shared" si="19"/>
        <v>0</v>
      </c>
      <c r="H155" s="298" t="s">
        <v>203</v>
      </c>
      <c r="I155" s="299"/>
    </row>
    <row r="156" spans="1:9">
      <c r="A156" s="294">
        <v>45326</v>
      </c>
      <c r="B156" s="292"/>
      <c r="C156" s="295" t="s">
        <v>199</v>
      </c>
      <c r="D156" s="296">
        <v>45327.000011574077</v>
      </c>
      <c r="E156" s="296">
        <v>45327.000011574077</v>
      </c>
      <c r="F156" s="297">
        <f t="shared" si="20"/>
        <v>0</v>
      </c>
      <c r="G156" s="288">
        <f t="shared" si="19"/>
        <v>0</v>
      </c>
      <c r="H156" s="298" t="s">
        <v>203</v>
      </c>
      <c r="I156" s="299"/>
    </row>
    <row r="157" spans="1:9">
      <c r="A157" s="294">
        <v>45327</v>
      </c>
      <c r="B157" s="292"/>
      <c r="C157" s="295" t="s">
        <v>199</v>
      </c>
      <c r="D157" s="296">
        <v>45328.000011574077</v>
      </c>
      <c r="E157" s="283">
        <f t="shared" ref="E157:E181" ca="1" si="21">NOW()</f>
        <v>45484.461160069448</v>
      </c>
      <c r="F157" s="297">
        <f t="shared" ca="1" si="20"/>
        <v>3755.0675638889079</v>
      </c>
      <c r="G157" s="288">
        <f t="shared" ca="1" si="19"/>
        <v>156</v>
      </c>
      <c r="H157" s="298" t="s">
        <v>203</v>
      </c>
      <c r="I157" s="299"/>
    </row>
    <row r="158" spans="1:9">
      <c r="A158" s="294">
        <v>45328</v>
      </c>
      <c r="B158" s="292"/>
      <c r="C158" s="295" t="s">
        <v>199</v>
      </c>
      <c r="D158" s="296">
        <v>45328</v>
      </c>
      <c r="E158" s="283">
        <f t="shared" ca="1" si="21"/>
        <v>45484.461160069448</v>
      </c>
      <c r="F158" s="297">
        <f t="shared" ca="1" si="20"/>
        <v>3755.0678416667506</v>
      </c>
      <c r="G158" s="288">
        <f t="shared" ca="1" si="19"/>
        <v>156</v>
      </c>
      <c r="H158" s="298" t="s">
        <v>203</v>
      </c>
      <c r="I158" s="299"/>
    </row>
    <row r="159" spans="1:9">
      <c r="A159" s="294">
        <v>45329</v>
      </c>
      <c r="B159" s="292"/>
      <c r="C159" s="295" t="s">
        <v>199</v>
      </c>
      <c r="D159" s="296">
        <v>45329</v>
      </c>
      <c r="E159" s="283">
        <f t="shared" ca="1" si="21"/>
        <v>45484.461160069448</v>
      </c>
      <c r="F159" s="297">
        <f t="shared" ca="1" si="20"/>
        <v>3731.0678416667506</v>
      </c>
      <c r="G159" s="288">
        <f t="shared" ca="1" si="19"/>
        <v>155</v>
      </c>
      <c r="H159" s="298" t="s">
        <v>203</v>
      </c>
      <c r="I159" s="299"/>
    </row>
    <row r="160" spans="1:9">
      <c r="A160" s="294">
        <v>45330</v>
      </c>
      <c r="B160" s="292"/>
      <c r="C160" s="295" t="s">
        <v>199</v>
      </c>
      <c r="D160" s="296">
        <v>45330</v>
      </c>
      <c r="E160" s="283">
        <f t="shared" ca="1" si="21"/>
        <v>45484.461160069448</v>
      </c>
      <c r="F160" s="297">
        <f t="shared" ca="1" si="20"/>
        <v>3707.0678416667506</v>
      </c>
      <c r="G160" s="288">
        <f t="shared" ca="1" si="19"/>
        <v>154</v>
      </c>
      <c r="H160" s="298" t="s">
        <v>203</v>
      </c>
      <c r="I160" s="299"/>
    </row>
    <row r="161" spans="1:9">
      <c r="A161" s="294">
        <v>45331</v>
      </c>
      <c r="B161" s="292"/>
      <c r="C161" s="295" t="s">
        <v>199</v>
      </c>
      <c r="D161" s="296">
        <v>45331</v>
      </c>
      <c r="E161" s="283">
        <f t="shared" ca="1" si="21"/>
        <v>45484.461160069448</v>
      </c>
      <c r="F161" s="297">
        <f t="shared" ca="1" si="20"/>
        <v>3683.0678416667506</v>
      </c>
      <c r="G161" s="288">
        <f t="shared" ca="1" si="19"/>
        <v>153</v>
      </c>
      <c r="H161" s="298" t="s">
        <v>203</v>
      </c>
      <c r="I161" s="299"/>
    </row>
    <row r="162" spans="1:9">
      <c r="A162" s="294">
        <v>45332</v>
      </c>
      <c r="B162" s="292"/>
      <c r="C162" s="295" t="s">
        <v>199</v>
      </c>
      <c r="D162" s="296">
        <v>45332</v>
      </c>
      <c r="E162" s="283">
        <f t="shared" ca="1" si="21"/>
        <v>45484.461160069448</v>
      </c>
      <c r="F162" s="297">
        <f t="shared" ca="1" si="20"/>
        <v>3659.0678416667506</v>
      </c>
      <c r="G162" s="288">
        <f t="shared" ca="1" si="19"/>
        <v>152</v>
      </c>
      <c r="H162" s="298" t="s">
        <v>203</v>
      </c>
      <c r="I162" s="299"/>
    </row>
    <row r="163" spans="1:9">
      <c r="A163" s="294">
        <v>45333</v>
      </c>
      <c r="B163" s="292"/>
      <c r="C163" s="295" t="s">
        <v>199</v>
      </c>
      <c r="D163" s="296">
        <v>45333</v>
      </c>
      <c r="E163" s="283">
        <f t="shared" ca="1" si="21"/>
        <v>45484.461160069448</v>
      </c>
      <c r="F163" s="297">
        <f t="shared" ca="1" si="20"/>
        <v>3635.0678416667506</v>
      </c>
      <c r="G163" s="288">
        <f t="shared" ca="1" si="19"/>
        <v>151</v>
      </c>
      <c r="H163" s="298" t="s">
        <v>203</v>
      </c>
      <c r="I163" s="299"/>
    </row>
    <row r="164" spans="1:9">
      <c r="A164" s="294">
        <v>45334</v>
      </c>
      <c r="B164" s="292"/>
      <c r="C164" s="295" t="s">
        <v>199</v>
      </c>
      <c r="D164" s="296">
        <v>45334</v>
      </c>
      <c r="E164" s="283">
        <f t="shared" ca="1" si="21"/>
        <v>45484.461160069448</v>
      </c>
      <c r="F164" s="297">
        <f t="shared" ca="1" si="20"/>
        <v>3611.0678416667506</v>
      </c>
      <c r="G164" s="288">
        <f t="shared" ca="1" si="19"/>
        <v>150</v>
      </c>
      <c r="H164" s="298" t="s">
        <v>203</v>
      </c>
      <c r="I164" s="299"/>
    </row>
    <row r="165" spans="1:9">
      <c r="A165" s="294">
        <v>45335</v>
      </c>
      <c r="B165" s="292"/>
      <c r="C165" s="295" t="s">
        <v>199</v>
      </c>
      <c r="D165" s="296">
        <v>45335</v>
      </c>
      <c r="E165" s="283">
        <f t="shared" ca="1" si="21"/>
        <v>45484.461160069448</v>
      </c>
      <c r="F165" s="297">
        <f t="shared" ca="1" si="20"/>
        <v>3587.0678416667506</v>
      </c>
      <c r="G165" s="288">
        <f t="shared" ca="1" si="19"/>
        <v>149</v>
      </c>
      <c r="H165" s="298" t="s">
        <v>203</v>
      </c>
      <c r="I165" s="299"/>
    </row>
    <row r="166" spans="1:9">
      <c r="A166" s="294">
        <v>45336</v>
      </c>
      <c r="B166" s="292"/>
      <c r="C166" s="295" t="s">
        <v>199</v>
      </c>
      <c r="D166" s="296">
        <v>45336</v>
      </c>
      <c r="E166" s="283">
        <f t="shared" ca="1" si="21"/>
        <v>45484.461160069448</v>
      </c>
      <c r="F166" s="297">
        <f t="shared" ca="1" si="20"/>
        <v>3563.0678416667506</v>
      </c>
      <c r="G166" s="288">
        <f t="shared" ca="1" si="19"/>
        <v>148</v>
      </c>
      <c r="H166" s="298" t="s">
        <v>203</v>
      </c>
      <c r="I166" s="299"/>
    </row>
    <row r="167" spans="1:9">
      <c r="A167" s="294">
        <v>45337</v>
      </c>
      <c r="B167" s="292"/>
      <c r="C167" s="295" t="s">
        <v>199</v>
      </c>
      <c r="D167" s="296">
        <v>45337</v>
      </c>
      <c r="E167" s="283">
        <f t="shared" ca="1" si="21"/>
        <v>45484.461160069448</v>
      </c>
      <c r="F167" s="297">
        <f t="shared" ca="1" si="20"/>
        <v>3539.0678416667506</v>
      </c>
      <c r="G167" s="288">
        <f t="shared" ca="1" si="19"/>
        <v>147</v>
      </c>
      <c r="H167" s="298" t="s">
        <v>203</v>
      </c>
      <c r="I167" s="299"/>
    </row>
    <row r="168" spans="1:9">
      <c r="A168" s="294">
        <v>45338</v>
      </c>
      <c r="B168" s="292"/>
      <c r="C168" s="295" t="s">
        <v>199</v>
      </c>
      <c r="D168" s="296">
        <v>45338</v>
      </c>
      <c r="E168" s="283">
        <f t="shared" ca="1" si="21"/>
        <v>45484.461160069448</v>
      </c>
      <c r="F168" s="297">
        <f t="shared" ca="1" si="20"/>
        <v>3515.0678416667506</v>
      </c>
      <c r="G168" s="288">
        <f t="shared" ca="1" si="19"/>
        <v>146</v>
      </c>
      <c r="H168" s="298" t="s">
        <v>203</v>
      </c>
      <c r="I168" s="299"/>
    </row>
    <row r="169" spans="1:9">
      <c r="A169" s="294">
        <v>45339</v>
      </c>
      <c r="B169" s="292"/>
      <c r="C169" s="295" t="s">
        <v>199</v>
      </c>
      <c r="D169" s="296">
        <v>45339</v>
      </c>
      <c r="E169" s="283">
        <f t="shared" ca="1" si="21"/>
        <v>45484.461160069448</v>
      </c>
      <c r="F169" s="297">
        <f t="shared" ca="1" si="20"/>
        <v>3491.0678416667506</v>
      </c>
      <c r="G169" s="288">
        <f t="shared" ca="1" si="19"/>
        <v>145</v>
      </c>
      <c r="H169" s="298" t="s">
        <v>203</v>
      </c>
      <c r="I169" s="299"/>
    </row>
    <row r="170" spans="1:9">
      <c r="A170" s="294">
        <v>45340</v>
      </c>
      <c r="B170" s="292"/>
      <c r="C170" s="295" t="s">
        <v>199</v>
      </c>
      <c r="D170" s="296">
        <v>45340</v>
      </c>
      <c r="E170" s="283">
        <f t="shared" ca="1" si="21"/>
        <v>45484.461160069448</v>
      </c>
      <c r="F170" s="297">
        <f t="shared" ca="1" si="20"/>
        <v>3467.0678416667506</v>
      </c>
      <c r="G170" s="288">
        <f t="shared" ca="1" si="19"/>
        <v>144</v>
      </c>
      <c r="H170" s="298" t="s">
        <v>203</v>
      </c>
      <c r="I170" s="299"/>
    </row>
    <row r="171" spans="1:9">
      <c r="A171" s="294">
        <v>45341</v>
      </c>
      <c r="B171" s="292"/>
      <c r="C171" s="295" t="s">
        <v>199</v>
      </c>
      <c r="D171" s="296">
        <v>45341</v>
      </c>
      <c r="E171" s="283">
        <f t="shared" ca="1" si="21"/>
        <v>45484.461160069448</v>
      </c>
      <c r="F171" s="297">
        <f t="shared" ca="1" si="20"/>
        <v>3443.0678416667506</v>
      </c>
      <c r="G171" s="288">
        <f t="shared" ca="1" si="19"/>
        <v>143</v>
      </c>
      <c r="H171" s="298" t="s">
        <v>203</v>
      </c>
      <c r="I171" s="299"/>
    </row>
    <row r="172" spans="1:9">
      <c r="A172" s="294">
        <v>45342</v>
      </c>
      <c r="B172" s="292"/>
      <c r="C172" s="295" t="s">
        <v>199</v>
      </c>
      <c r="D172" s="296">
        <v>45342</v>
      </c>
      <c r="E172" s="283">
        <f t="shared" ca="1" si="21"/>
        <v>45484.461160069448</v>
      </c>
      <c r="F172" s="297">
        <f t="shared" ca="1" si="20"/>
        <v>3419.0678416667506</v>
      </c>
      <c r="G172" s="288">
        <f t="shared" ca="1" si="19"/>
        <v>142</v>
      </c>
      <c r="H172" s="298" t="s">
        <v>203</v>
      </c>
      <c r="I172" s="299"/>
    </row>
    <row r="173" spans="1:9">
      <c r="A173" s="294">
        <v>45343</v>
      </c>
      <c r="B173" s="292"/>
      <c r="C173" s="295" t="s">
        <v>199</v>
      </c>
      <c r="D173" s="296">
        <v>45343</v>
      </c>
      <c r="E173" s="283">
        <f t="shared" ca="1" si="21"/>
        <v>45484.461160069448</v>
      </c>
      <c r="F173" s="297">
        <f t="shared" ca="1" si="20"/>
        <v>3395.0678416667506</v>
      </c>
      <c r="G173" s="288">
        <f t="shared" ca="1" si="19"/>
        <v>141</v>
      </c>
      <c r="H173" s="298" t="s">
        <v>203</v>
      </c>
      <c r="I173" s="299"/>
    </row>
    <row r="174" spans="1:9">
      <c r="A174" s="294">
        <v>45344</v>
      </c>
      <c r="B174" s="292"/>
      <c r="C174" s="295" t="s">
        <v>199</v>
      </c>
      <c r="D174" s="296">
        <v>45344</v>
      </c>
      <c r="E174" s="283">
        <f t="shared" ca="1" si="21"/>
        <v>45484.461160069448</v>
      </c>
      <c r="F174" s="297">
        <f t="shared" ca="1" si="20"/>
        <v>3371.0678416667506</v>
      </c>
      <c r="G174" s="288">
        <f t="shared" ca="1" si="19"/>
        <v>140</v>
      </c>
      <c r="H174" s="298" t="s">
        <v>203</v>
      </c>
      <c r="I174" s="299"/>
    </row>
    <row r="175" spans="1:9">
      <c r="A175" s="294">
        <v>45345</v>
      </c>
      <c r="B175" s="292"/>
      <c r="C175" s="295" t="s">
        <v>199</v>
      </c>
      <c r="D175" s="296">
        <v>45345</v>
      </c>
      <c r="E175" s="283">
        <f t="shared" ca="1" si="21"/>
        <v>45484.461160069448</v>
      </c>
      <c r="F175" s="297">
        <f t="shared" ca="1" si="20"/>
        <v>3347.0678416667506</v>
      </c>
      <c r="G175" s="288">
        <f t="shared" ca="1" si="19"/>
        <v>139</v>
      </c>
      <c r="H175" s="298" t="s">
        <v>203</v>
      </c>
      <c r="I175" s="299"/>
    </row>
    <row r="176" spans="1:9">
      <c r="A176" s="294">
        <v>45346</v>
      </c>
      <c r="B176" s="292"/>
      <c r="C176" s="295" t="s">
        <v>199</v>
      </c>
      <c r="D176" s="296">
        <v>45346</v>
      </c>
      <c r="E176" s="283">
        <f t="shared" ca="1" si="21"/>
        <v>45484.461160069448</v>
      </c>
      <c r="F176" s="297">
        <f t="shared" ca="1" si="20"/>
        <v>3323.0678416667506</v>
      </c>
      <c r="G176" s="288">
        <f t="shared" ca="1" si="19"/>
        <v>138</v>
      </c>
      <c r="H176" s="298" t="s">
        <v>203</v>
      </c>
      <c r="I176" s="299"/>
    </row>
    <row r="177" spans="1:9">
      <c r="A177" s="294">
        <v>45347</v>
      </c>
      <c r="B177" s="292"/>
      <c r="C177" s="295" t="s">
        <v>199</v>
      </c>
      <c r="D177" s="296">
        <v>45347</v>
      </c>
      <c r="E177" s="283">
        <f t="shared" ca="1" si="21"/>
        <v>45484.461160069448</v>
      </c>
      <c r="F177" s="297">
        <f t="shared" ca="1" si="20"/>
        <v>3299.0678416667506</v>
      </c>
      <c r="G177" s="288">
        <f t="shared" ca="1" si="19"/>
        <v>137</v>
      </c>
      <c r="H177" s="298" t="s">
        <v>203</v>
      </c>
      <c r="I177" s="299"/>
    </row>
    <row r="178" spans="1:9">
      <c r="A178" s="294">
        <v>45348</v>
      </c>
      <c r="B178" s="292"/>
      <c r="C178" s="295" t="s">
        <v>199</v>
      </c>
      <c r="D178" s="296">
        <v>45348</v>
      </c>
      <c r="E178" s="283">
        <f t="shared" ca="1" si="21"/>
        <v>45484.461160069448</v>
      </c>
      <c r="F178" s="297">
        <f t="shared" ca="1" si="20"/>
        <v>3275.0678416667506</v>
      </c>
      <c r="G178" s="288">
        <f t="shared" ca="1" si="19"/>
        <v>136</v>
      </c>
      <c r="H178" s="298" t="s">
        <v>203</v>
      </c>
      <c r="I178" s="299"/>
    </row>
    <row r="179" spans="1:9">
      <c r="A179" s="294">
        <v>45349</v>
      </c>
      <c r="B179" s="292"/>
      <c r="C179" s="295" t="s">
        <v>199</v>
      </c>
      <c r="D179" s="296">
        <v>45349</v>
      </c>
      <c r="E179" s="283">
        <f t="shared" ca="1" si="21"/>
        <v>45484.461160069448</v>
      </c>
      <c r="F179" s="297">
        <f t="shared" ca="1" si="20"/>
        <v>3251.0678416667506</v>
      </c>
      <c r="G179" s="288">
        <f t="shared" ca="1" si="19"/>
        <v>135</v>
      </c>
      <c r="H179" s="298" t="s">
        <v>203</v>
      </c>
      <c r="I179" s="299"/>
    </row>
    <row r="180" spans="1:9">
      <c r="A180" s="294">
        <v>45350</v>
      </c>
      <c r="B180" s="292"/>
      <c r="C180" s="295" t="s">
        <v>199</v>
      </c>
      <c r="D180" s="296">
        <v>45350</v>
      </c>
      <c r="E180" s="283">
        <f t="shared" ca="1" si="21"/>
        <v>45484.461160069448</v>
      </c>
      <c r="F180" s="297">
        <f t="shared" ca="1" si="20"/>
        <v>3227.0678416667506</v>
      </c>
      <c r="G180" s="288">
        <f t="shared" ca="1" si="19"/>
        <v>134</v>
      </c>
      <c r="H180" s="298" t="s">
        <v>203</v>
      </c>
      <c r="I180" s="299"/>
    </row>
    <row r="181" spans="1:9">
      <c r="A181" s="294">
        <v>45351</v>
      </c>
      <c r="B181" s="292"/>
      <c r="C181" s="295" t="s">
        <v>199</v>
      </c>
      <c r="D181" s="296">
        <v>45351</v>
      </c>
      <c r="E181" s="283">
        <f t="shared" ca="1" si="21"/>
        <v>45484.461160069448</v>
      </c>
      <c r="F181" s="297">
        <f t="shared" ca="1" si="20"/>
        <v>3203.0678416667506</v>
      </c>
      <c r="G181" s="288">
        <f t="shared" ca="1" si="19"/>
        <v>133</v>
      </c>
      <c r="H181" s="298" t="s">
        <v>203</v>
      </c>
      <c r="I181" s="299"/>
    </row>
    <row r="182" spans="1:9">
      <c r="A182" s="336" t="s">
        <v>66</v>
      </c>
      <c r="B182" s="317"/>
      <c r="C182" s="295"/>
      <c r="D182" s="296"/>
      <c r="E182" s="283"/>
      <c r="F182" s="297">
        <f ca="1">SUM(F154:F157)</f>
        <v>3774.734230555594</v>
      </c>
      <c r="G182" s="288">
        <f>DATEDIF(D182,E182,"D")</f>
        <v>0</v>
      </c>
      <c r="H182" s="298"/>
      <c r="I182" s="299"/>
    </row>
    <row r="183" spans="1:9">
      <c r="A183" s="291"/>
      <c r="B183" s="292" t="s">
        <v>41</v>
      </c>
      <c r="C183" s="291"/>
      <c r="D183" s="291"/>
      <c r="E183" s="291"/>
      <c r="F183" s="291"/>
      <c r="G183" s="291"/>
      <c r="H183" s="291"/>
      <c r="I183" s="291"/>
    </row>
    <row r="184" spans="1:9">
      <c r="A184" s="294">
        <v>45323</v>
      </c>
      <c r="B184" s="292"/>
      <c r="C184" s="295" t="s">
        <v>199</v>
      </c>
      <c r="D184" s="296">
        <v>45323.000011574077</v>
      </c>
      <c r="E184" s="296">
        <v>45323.999988425923</v>
      </c>
      <c r="F184" s="297">
        <f>(E184-D184)*24</f>
        <v>23.999444444314577</v>
      </c>
      <c r="G184" s="288">
        <f>DATEDIF(D184,E184,"D")</f>
        <v>0</v>
      </c>
      <c r="H184" s="298" t="s">
        <v>203</v>
      </c>
      <c r="I184" s="299" t="s">
        <v>245</v>
      </c>
    </row>
    <row r="185" spans="1:9">
      <c r="A185" s="294">
        <v>45324</v>
      </c>
      <c r="B185" s="292"/>
      <c r="C185" s="295" t="s">
        <v>199</v>
      </c>
      <c r="D185" s="296">
        <v>45324.000011574077</v>
      </c>
      <c r="E185" s="296">
        <v>45324.819456018522</v>
      </c>
      <c r="F185" s="297">
        <f>(E185-D185)*24</f>
        <v>19.666666666686069</v>
      </c>
      <c r="G185" s="288">
        <f t="shared" ref="G185:G212" si="22">DATEDIF(D185,E185,"D")</f>
        <v>0</v>
      </c>
      <c r="H185" s="298" t="s">
        <v>203</v>
      </c>
      <c r="I185" s="299" t="s">
        <v>245</v>
      </c>
    </row>
    <row r="186" spans="1:9">
      <c r="A186" s="294">
        <v>45325</v>
      </c>
      <c r="B186" s="292"/>
      <c r="C186" s="295" t="s">
        <v>199</v>
      </c>
      <c r="D186" s="296">
        <v>45326.000011574077</v>
      </c>
      <c r="E186" s="296">
        <v>45326.000011574077</v>
      </c>
      <c r="F186" s="297">
        <f t="shared" ref="F186:F212" si="23">(E186-D186)*24</f>
        <v>0</v>
      </c>
      <c r="G186" s="288">
        <f t="shared" si="22"/>
        <v>0</v>
      </c>
      <c r="H186" s="298" t="s">
        <v>203</v>
      </c>
      <c r="I186" s="299"/>
    </row>
    <row r="187" spans="1:9">
      <c r="A187" s="294">
        <v>45326</v>
      </c>
      <c r="B187" s="292"/>
      <c r="C187" s="295" t="s">
        <v>199</v>
      </c>
      <c r="D187" s="296">
        <v>45327.000011574077</v>
      </c>
      <c r="E187" s="296">
        <v>45327.000011574077</v>
      </c>
      <c r="F187" s="297">
        <f t="shared" si="23"/>
        <v>0</v>
      </c>
      <c r="G187" s="288">
        <f t="shared" si="22"/>
        <v>0</v>
      </c>
      <c r="H187" s="298" t="s">
        <v>203</v>
      </c>
      <c r="I187" s="299"/>
    </row>
    <row r="188" spans="1:9">
      <c r="A188" s="294">
        <v>45327</v>
      </c>
      <c r="B188" s="292"/>
      <c r="C188" s="295" t="s">
        <v>199</v>
      </c>
      <c r="D188" s="296">
        <v>45328.000011574077</v>
      </c>
      <c r="E188" s="283">
        <f t="shared" ref="E188:E212" ca="1" si="24">NOW()</f>
        <v>45484.461160069448</v>
      </c>
      <c r="F188" s="297">
        <f t="shared" ca="1" si="23"/>
        <v>3755.0675638889079</v>
      </c>
      <c r="G188" s="288">
        <f t="shared" ca="1" si="22"/>
        <v>156</v>
      </c>
      <c r="H188" s="298" t="s">
        <v>203</v>
      </c>
      <c r="I188" s="299"/>
    </row>
    <row r="189" spans="1:9">
      <c r="A189" s="294">
        <v>45328</v>
      </c>
      <c r="B189" s="292"/>
      <c r="C189" s="295" t="s">
        <v>199</v>
      </c>
      <c r="D189" s="296">
        <v>45328</v>
      </c>
      <c r="E189" s="283">
        <f t="shared" ca="1" si="24"/>
        <v>45484.461160069448</v>
      </c>
      <c r="F189" s="297">
        <f t="shared" ca="1" si="23"/>
        <v>3755.0678416667506</v>
      </c>
      <c r="G189" s="288">
        <f t="shared" ca="1" si="22"/>
        <v>156</v>
      </c>
      <c r="H189" s="298" t="s">
        <v>203</v>
      </c>
      <c r="I189" s="299"/>
    </row>
    <row r="190" spans="1:9">
      <c r="A190" s="294">
        <v>45329</v>
      </c>
      <c r="B190" s="292"/>
      <c r="C190" s="295" t="s">
        <v>199</v>
      </c>
      <c r="D190" s="296">
        <v>45329</v>
      </c>
      <c r="E190" s="283">
        <f t="shared" ca="1" si="24"/>
        <v>45484.461160069448</v>
      </c>
      <c r="F190" s="297">
        <f t="shared" ca="1" si="23"/>
        <v>3731.0678416667506</v>
      </c>
      <c r="G190" s="288">
        <f t="shared" ca="1" si="22"/>
        <v>155</v>
      </c>
      <c r="H190" s="298" t="s">
        <v>203</v>
      </c>
      <c r="I190" s="299"/>
    </row>
    <row r="191" spans="1:9">
      <c r="A191" s="294">
        <v>45330</v>
      </c>
      <c r="B191" s="292"/>
      <c r="C191" s="295" t="s">
        <v>199</v>
      </c>
      <c r="D191" s="296">
        <v>45330</v>
      </c>
      <c r="E191" s="283">
        <f t="shared" ca="1" si="24"/>
        <v>45484.461160069448</v>
      </c>
      <c r="F191" s="297">
        <f t="shared" ca="1" si="23"/>
        <v>3707.0678416667506</v>
      </c>
      <c r="G191" s="288">
        <f t="shared" ca="1" si="22"/>
        <v>154</v>
      </c>
      <c r="H191" s="298" t="s">
        <v>203</v>
      </c>
      <c r="I191" s="299"/>
    </row>
    <row r="192" spans="1:9">
      <c r="A192" s="294">
        <v>45331</v>
      </c>
      <c r="B192" s="292"/>
      <c r="C192" s="295" t="s">
        <v>199</v>
      </c>
      <c r="D192" s="296">
        <v>45331</v>
      </c>
      <c r="E192" s="283">
        <f t="shared" ca="1" si="24"/>
        <v>45484.461160069448</v>
      </c>
      <c r="F192" s="297">
        <f t="shared" ca="1" si="23"/>
        <v>3683.0678416667506</v>
      </c>
      <c r="G192" s="288">
        <f t="shared" ca="1" si="22"/>
        <v>153</v>
      </c>
      <c r="H192" s="298" t="s">
        <v>203</v>
      </c>
      <c r="I192" s="299"/>
    </row>
    <row r="193" spans="1:9">
      <c r="A193" s="294">
        <v>45332</v>
      </c>
      <c r="B193" s="292"/>
      <c r="C193" s="295" t="s">
        <v>199</v>
      </c>
      <c r="D193" s="296">
        <v>45332</v>
      </c>
      <c r="E193" s="283">
        <f t="shared" ca="1" si="24"/>
        <v>45484.461160069448</v>
      </c>
      <c r="F193" s="297">
        <f t="shared" ca="1" si="23"/>
        <v>3659.0678416667506</v>
      </c>
      <c r="G193" s="288">
        <f t="shared" ca="1" si="22"/>
        <v>152</v>
      </c>
      <c r="H193" s="298" t="s">
        <v>203</v>
      </c>
      <c r="I193" s="299"/>
    </row>
    <row r="194" spans="1:9">
      <c r="A194" s="294">
        <v>45333</v>
      </c>
      <c r="B194" s="292"/>
      <c r="C194" s="295" t="s">
        <v>199</v>
      </c>
      <c r="D194" s="296">
        <v>45333</v>
      </c>
      <c r="E194" s="283">
        <f t="shared" ca="1" si="24"/>
        <v>45484.461160069448</v>
      </c>
      <c r="F194" s="297">
        <f t="shared" ca="1" si="23"/>
        <v>3635.0678416667506</v>
      </c>
      <c r="G194" s="288">
        <f t="shared" ca="1" si="22"/>
        <v>151</v>
      </c>
      <c r="H194" s="298" t="s">
        <v>203</v>
      </c>
      <c r="I194" s="299"/>
    </row>
    <row r="195" spans="1:9">
      <c r="A195" s="294">
        <v>45334</v>
      </c>
      <c r="B195" s="292"/>
      <c r="C195" s="295" t="s">
        <v>199</v>
      </c>
      <c r="D195" s="296">
        <v>45334</v>
      </c>
      <c r="E195" s="283">
        <f t="shared" ca="1" si="24"/>
        <v>45484.461160069448</v>
      </c>
      <c r="F195" s="297">
        <f t="shared" ca="1" si="23"/>
        <v>3611.0678416667506</v>
      </c>
      <c r="G195" s="288">
        <f t="shared" ca="1" si="22"/>
        <v>150</v>
      </c>
      <c r="H195" s="298" t="s">
        <v>203</v>
      </c>
      <c r="I195" s="299"/>
    </row>
    <row r="196" spans="1:9">
      <c r="A196" s="294">
        <v>45335</v>
      </c>
      <c r="B196" s="292"/>
      <c r="C196" s="295" t="s">
        <v>199</v>
      </c>
      <c r="D196" s="296">
        <v>45335</v>
      </c>
      <c r="E196" s="283">
        <f t="shared" ca="1" si="24"/>
        <v>45484.461160069448</v>
      </c>
      <c r="F196" s="297">
        <f t="shared" ca="1" si="23"/>
        <v>3587.0678416667506</v>
      </c>
      <c r="G196" s="288">
        <f t="shared" ca="1" si="22"/>
        <v>149</v>
      </c>
      <c r="H196" s="298" t="s">
        <v>203</v>
      </c>
      <c r="I196" s="299"/>
    </row>
    <row r="197" spans="1:9">
      <c r="A197" s="294">
        <v>45336</v>
      </c>
      <c r="B197" s="292"/>
      <c r="C197" s="295" t="s">
        <v>199</v>
      </c>
      <c r="D197" s="296">
        <v>45336</v>
      </c>
      <c r="E197" s="283">
        <f t="shared" ca="1" si="24"/>
        <v>45484.461160069448</v>
      </c>
      <c r="F197" s="297">
        <f t="shared" ca="1" si="23"/>
        <v>3563.0678416667506</v>
      </c>
      <c r="G197" s="288">
        <f t="shared" ca="1" si="22"/>
        <v>148</v>
      </c>
      <c r="H197" s="298" t="s">
        <v>203</v>
      </c>
      <c r="I197" s="299"/>
    </row>
    <row r="198" spans="1:9">
      <c r="A198" s="294">
        <v>45337</v>
      </c>
      <c r="B198" s="292"/>
      <c r="C198" s="295" t="s">
        <v>199</v>
      </c>
      <c r="D198" s="296">
        <v>45337</v>
      </c>
      <c r="E198" s="283">
        <f t="shared" ca="1" si="24"/>
        <v>45484.461160069448</v>
      </c>
      <c r="F198" s="297">
        <f t="shared" ca="1" si="23"/>
        <v>3539.0678416667506</v>
      </c>
      <c r="G198" s="288">
        <f t="shared" ca="1" si="22"/>
        <v>147</v>
      </c>
      <c r="H198" s="298" t="s">
        <v>203</v>
      </c>
      <c r="I198" s="299"/>
    </row>
    <row r="199" spans="1:9">
      <c r="A199" s="294">
        <v>45338</v>
      </c>
      <c r="B199" s="292"/>
      <c r="C199" s="295" t="s">
        <v>199</v>
      </c>
      <c r="D199" s="296">
        <v>45338</v>
      </c>
      <c r="E199" s="283">
        <f t="shared" ca="1" si="24"/>
        <v>45484.461160069448</v>
      </c>
      <c r="F199" s="297">
        <f t="shared" ca="1" si="23"/>
        <v>3515.0678416667506</v>
      </c>
      <c r="G199" s="288">
        <f t="shared" ca="1" si="22"/>
        <v>146</v>
      </c>
      <c r="H199" s="298" t="s">
        <v>203</v>
      </c>
      <c r="I199" s="299"/>
    </row>
    <row r="200" spans="1:9">
      <c r="A200" s="294">
        <v>45339</v>
      </c>
      <c r="B200" s="292"/>
      <c r="C200" s="295" t="s">
        <v>199</v>
      </c>
      <c r="D200" s="296">
        <v>45339</v>
      </c>
      <c r="E200" s="283">
        <f t="shared" ca="1" si="24"/>
        <v>45484.461160069448</v>
      </c>
      <c r="F200" s="297">
        <f t="shared" ca="1" si="23"/>
        <v>3491.0678416667506</v>
      </c>
      <c r="G200" s="288">
        <f t="shared" ca="1" si="22"/>
        <v>145</v>
      </c>
      <c r="H200" s="298" t="s">
        <v>203</v>
      </c>
      <c r="I200" s="299"/>
    </row>
    <row r="201" spans="1:9">
      <c r="A201" s="294">
        <v>45340</v>
      </c>
      <c r="B201" s="292"/>
      <c r="C201" s="295" t="s">
        <v>199</v>
      </c>
      <c r="D201" s="296">
        <v>45340</v>
      </c>
      <c r="E201" s="283">
        <f t="shared" ca="1" si="24"/>
        <v>45484.461160069448</v>
      </c>
      <c r="F201" s="297">
        <f t="shared" ca="1" si="23"/>
        <v>3467.0678416667506</v>
      </c>
      <c r="G201" s="288">
        <f t="shared" ca="1" si="22"/>
        <v>144</v>
      </c>
      <c r="H201" s="298" t="s">
        <v>203</v>
      </c>
      <c r="I201" s="299"/>
    </row>
    <row r="202" spans="1:9">
      <c r="A202" s="294">
        <v>45341</v>
      </c>
      <c r="B202" s="292"/>
      <c r="C202" s="295" t="s">
        <v>199</v>
      </c>
      <c r="D202" s="296">
        <v>45341</v>
      </c>
      <c r="E202" s="283">
        <f t="shared" ca="1" si="24"/>
        <v>45484.461160069448</v>
      </c>
      <c r="F202" s="297">
        <f t="shared" ca="1" si="23"/>
        <v>3443.0678416667506</v>
      </c>
      <c r="G202" s="288">
        <f t="shared" ca="1" si="22"/>
        <v>143</v>
      </c>
      <c r="H202" s="298" t="s">
        <v>203</v>
      </c>
      <c r="I202" s="299"/>
    </row>
    <row r="203" spans="1:9">
      <c r="A203" s="294">
        <v>45342</v>
      </c>
      <c r="B203" s="292"/>
      <c r="C203" s="295" t="s">
        <v>199</v>
      </c>
      <c r="D203" s="296">
        <v>45342</v>
      </c>
      <c r="E203" s="283">
        <f t="shared" ca="1" si="24"/>
        <v>45484.461160069448</v>
      </c>
      <c r="F203" s="297">
        <f t="shared" ca="1" si="23"/>
        <v>3419.0678416667506</v>
      </c>
      <c r="G203" s="288">
        <f t="shared" ca="1" si="22"/>
        <v>142</v>
      </c>
      <c r="H203" s="298" t="s">
        <v>203</v>
      </c>
      <c r="I203" s="299"/>
    </row>
    <row r="204" spans="1:9">
      <c r="A204" s="294">
        <v>45343</v>
      </c>
      <c r="B204" s="292"/>
      <c r="C204" s="295" t="s">
        <v>199</v>
      </c>
      <c r="D204" s="296">
        <v>45343</v>
      </c>
      <c r="E204" s="283">
        <f t="shared" ca="1" si="24"/>
        <v>45484.461160069448</v>
      </c>
      <c r="F204" s="297">
        <f t="shared" ca="1" si="23"/>
        <v>3395.0678416667506</v>
      </c>
      <c r="G204" s="288">
        <f t="shared" ca="1" si="22"/>
        <v>141</v>
      </c>
      <c r="H204" s="298" t="s">
        <v>203</v>
      </c>
      <c r="I204" s="299"/>
    </row>
    <row r="205" spans="1:9">
      <c r="A205" s="294">
        <v>45344</v>
      </c>
      <c r="B205" s="292"/>
      <c r="C205" s="295" t="s">
        <v>199</v>
      </c>
      <c r="D205" s="296">
        <v>45344</v>
      </c>
      <c r="E205" s="283">
        <f t="shared" ca="1" si="24"/>
        <v>45484.461160069448</v>
      </c>
      <c r="F205" s="297">
        <f t="shared" ca="1" si="23"/>
        <v>3371.0678416667506</v>
      </c>
      <c r="G205" s="288">
        <f t="shared" ca="1" si="22"/>
        <v>140</v>
      </c>
      <c r="H205" s="298" t="s">
        <v>203</v>
      </c>
      <c r="I205" s="299"/>
    </row>
    <row r="206" spans="1:9">
      <c r="A206" s="294">
        <v>45345</v>
      </c>
      <c r="B206" s="292"/>
      <c r="C206" s="295" t="s">
        <v>199</v>
      </c>
      <c r="D206" s="296">
        <v>45345</v>
      </c>
      <c r="E206" s="283">
        <f t="shared" ca="1" si="24"/>
        <v>45484.461160069448</v>
      </c>
      <c r="F206" s="297">
        <f t="shared" ca="1" si="23"/>
        <v>3347.0678416667506</v>
      </c>
      <c r="G206" s="288">
        <f t="shared" ca="1" si="22"/>
        <v>139</v>
      </c>
      <c r="H206" s="298" t="s">
        <v>203</v>
      </c>
      <c r="I206" s="299"/>
    </row>
    <row r="207" spans="1:9">
      <c r="A207" s="294">
        <v>45346</v>
      </c>
      <c r="B207" s="292"/>
      <c r="C207" s="295" t="s">
        <v>199</v>
      </c>
      <c r="D207" s="296">
        <v>45346</v>
      </c>
      <c r="E207" s="283">
        <f t="shared" ca="1" si="24"/>
        <v>45484.461160069448</v>
      </c>
      <c r="F207" s="297">
        <f t="shared" ca="1" si="23"/>
        <v>3323.0678416667506</v>
      </c>
      <c r="G207" s="288">
        <f t="shared" ca="1" si="22"/>
        <v>138</v>
      </c>
      <c r="H207" s="298" t="s">
        <v>203</v>
      </c>
      <c r="I207" s="299"/>
    </row>
    <row r="208" spans="1:9">
      <c r="A208" s="294">
        <v>45347</v>
      </c>
      <c r="B208" s="292"/>
      <c r="C208" s="295" t="s">
        <v>199</v>
      </c>
      <c r="D208" s="296">
        <v>45347</v>
      </c>
      <c r="E208" s="283">
        <f t="shared" ca="1" si="24"/>
        <v>45484.461160069448</v>
      </c>
      <c r="F208" s="297">
        <f t="shared" ca="1" si="23"/>
        <v>3299.0678416667506</v>
      </c>
      <c r="G208" s="288">
        <f t="shared" ca="1" si="22"/>
        <v>137</v>
      </c>
      <c r="H208" s="298" t="s">
        <v>203</v>
      </c>
      <c r="I208" s="299"/>
    </row>
    <row r="209" spans="1:9">
      <c r="A209" s="294">
        <v>45348</v>
      </c>
      <c r="B209" s="292"/>
      <c r="C209" s="295" t="s">
        <v>199</v>
      </c>
      <c r="D209" s="296">
        <v>45348</v>
      </c>
      <c r="E209" s="283">
        <f t="shared" ca="1" si="24"/>
        <v>45484.461160069448</v>
      </c>
      <c r="F209" s="297">
        <f t="shared" ca="1" si="23"/>
        <v>3275.0678416667506</v>
      </c>
      <c r="G209" s="288">
        <f t="shared" ca="1" si="22"/>
        <v>136</v>
      </c>
      <c r="H209" s="298" t="s">
        <v>203</v>
      </c>
      <c r="I209" s="299"/>
    </row>
    <row r="210" spans="1:9">
      <c r="A210" s="294">
        <v>45349</v>
      </c>
      <c r="B210" s="292"/>
      <c r="C210" s="295" t="s">
        <v>199</v>
      </c>
      <c r="D210" s="296">
        <v>45349</v>
      </c>
      <c r="E210" s="283">
        <f t="shared" ca="1" si="24"/>
        <v>45484.461160069448</v>
      </c>
      <c r="F210" s="297">
        <f t="shared" ca="1" si="23"/>
        <v>3251.0678416667506</v>
      </c>
      <c r="G210" s="288">
        <f t="shared" ca="1" si="22"/>
        <v>135</v>
      </c>
      <c r="H210" s="298" t="s">
        <v>203</v>
      </c>
      <c r="I210" s="299"/>
    </row>
    <row r="211" spans="1:9">
      <c r="A211" s="294">
        <v>45350</v>
      </c>
      <c r="B211" s="292"/>
      <c r="C211" s="295" t="s">
        <v>199</v>
      </c>
      <c r="D211" s="296">
        <v>45350</v>
      </c>
      <c r="E211" s="283">
        <f t="shared" ca="1" si="24"/>
        <v>45484.461160069448</v>
      </c>
      <c r="F211" s="297">
        <f t="shared" ca="1" si="23"/>
        <v>3227.0678416667506</v>
      </c>
      <c r="G211" s="288">
        <f t="shared" ca="1" si="22"/>
        <v>134</v>
      </c>
      <c r="H211" s="298" t="s">
        <v>203</v>
      </c>
      <c r="I211" s="299"/>
    </row>
    <row r="212" spans="1:9">
      <c r="A212" s="294">
        <v>45351</v>
      </c>
      <c r="B212" s="292"/>
      <c r="C212" s="295" t="s">
        <v>199</v>
      </c>
      <c r="D212" s="296">
        <v>45351</v>
      </c>
      <c r="E212" s="283">
        <f t="shared" ca="1" si="24"/>
        <v>45484.461160069448</v>
      </c>
      <c r="F212" s="297">
        <f t="shared" ca="1" si="23"/>
        <v>3203.0678416667506</v>
      </c>
      <c r="G212" s="288">
        <f t="shared" ca="1" si="22"/>
        <v>133</v>
      </c>
      <c r="H212" s="298" t="s">
        <v>203</v>
      </c>
      <c r="I212" s="299"/>
    </row>
    <row r="213" spans="1:9">
      <c r="A213" s="336" t="s">
        <v>66</v>
      </c>
      <c r="B213" s="317"/>
      <c r="C213" s="295"/>
      <c r="D213" s="296"/>
      <c r="E213" s="283"/>
      <c r="F213" s="297">
        <f ca="1">SUM(F185:F188)</f>
        <v>3774.734230555594</v>
      </c>
      <c r="G213" s="288">
        <f>DATEDIF(D213,E213,"D")</f>
        <v>0</v>
      </c>
      <c r="H213" s="298"/>
      <c r="I213" s="299"/>
    </row>
    <row r="214" spans="1:9">
      <c r="A214" s="291"/>
      <c r="B214" s="292" t="s">
        <v>43</v>
      </c>
      <c r="C214" s="291"/>
      <c r="D214" s="291"/>
      <c r="E214" s="291"/>
      <c r="F214" s="291"/>
      <c r="G214" s="291"/>
      <c r="H214" s="291"/>
      <c r="I214" s="291"/>
    </row>
    <row r="215" spans="1:9">
      <c r="A215" s="294">
        <v>45323</v>
      </c>
      <c r="B215" s="292"/>
      <c r="C215" s="295" t="s">
        <v>199</v>
      </c>
      <c r="D215" s="296">
        <v>45323.000011574077</v>
      </c>
      <c r="E215" s="296">
        <v>45323.999988425923</v>
      </c>
      <c r="F215" s="297">
        <f>(E215-D215)*24</f>
        <v>23.999444444314577</v>
      </c>
      <c r="G215" s="288">
        <f>DATEDIF(D215,E215,"D")</f>
        <v>0</v>
      </c>
      <c r="H215" s="298" t="s">
        <v>203</v>
      </c>
      <c r="I215" s="299" t="s">
        <v>245</v>
      </c>
    </row>
    <row r="216" spans="1:9">
      <c r="A216" s="294">
        <v>45324</v>
      </c>
      <c r="B216" s="292"/>
      <c r="C216" s="295" t="s">
        <v>199</v>
      </c>
      <c r="D216" s="296">
        <v>45324.000011574077</v>
      </c>
      <c r="E216" s="296">
        <v>45324.819456018522</v>
      </c>
      <c r="F216" s="297">
        <f>(E216-D216)*24</f>
        <v>19.666666666686069</v>
      </c>
      <c r="G216" s="288">
        <f t="shared" ref="G216:G243" si="25">DATEDIF(D216,E216,"D")</f>
        <v>0</v>
      </c>
      <c r="H216" s="298" t="s">
        <v>203</v>
      </c>
      <c r="I216" s="299" t="s">
        <v>245</v>
      </c>
    </row>
    <row r="217" spans="1:9">
      <c r="A217" s="294">
        <v>45325</v>
      </c>
      <c r="B217" s="292"/>
      <c r="C217" s="295" t="s">
        <v>199</v>
      </c>
      <c r="D217" s="296">
        <v>45326.000011574077</v>
      </c>
      <c r="E217" s="296">
        <v>45326.000011574077</v>
      </c>
      <c r="F217" s="297">
        <f t="shared" ref="F217:F243" si="26">(E217-D217)*24</f>
        <v>0</v>
      </c>
      <c r="G217" s="288">
        <f t="shared" si="25"/>
        <v>0</v>
      </c>
      <c r="H217" s="298" t="s">
        <v>203</v>
      </c>
      <c r="I217" s="299"/>
    </row>
    <row r="218" spans="1:9">
      <c r="A218" s="294">
        <v>45326</v>
      </c>
      <c r="B218" s="292"/>
      <c r="C218" s="295" t="s">
        <v>199</v>
      </c>
      <c r="D218" s="296">
        <v>45327.000011574077</v>
      </c>
      <c r="E218" s="296">
        <v>45327.000011574077</v>
      </c>
      <c r="F218" s="297">
        <f t="shared" si="26"/>
        <v>0</v>
      </c>
      <c r="G218" s="288">
        <f t="shared" si="25"/>
        <v>0</v>
      </c>
      <c r="H218" s="298" t="s">
        <v>203</v>
      </c>
      <c r="I218" s="299"/>
    </row>
    <row r="219" spans="1:9">
      <c r="A219" s="294">
        <v>45327</v>
      </c>
      <c r="B219" s="292"/>
      <c r="C219" s="295" t="s">
        <v>199</v>
      </c>
      <c r="D219" s="296">
        <v>45328.000011574077</v>
      </c>
      <c r="E219" s="283">
        <f t="shared" ref="E219:E243" ca="1" si="27">NOW()</f>
        <v>45484.461160069448</v>
      </c>
      <c r="F219" s="297">
        <f t="shared" ca="1" si="26"/>
        <v>3755.0675638889079</v>
      </c>
      <c r="G219" s="288">
        <f t="shared" ca="1" si="25"/>
        <v>156</v>
      </c>
      <c r="H219" s="298" t="s">
        <v>203</v>
      </c>
      <c r="I219" s="299"/>
    </row>
    <row r="220" spans="1:9">
      <c r="A220" s="294">
        <v>45328</v>
      </c>
      <c r="B220" s="292"/>
      <c r="C220" s="295" t="s">
        <v>199</v>
      </c>
      <c r="D220" s="296">
        <v>45328</v>
      </c>
      <c r="E220" s="283">
        <f t="shared" ca="1" si="27"/>
        <v>45484.461160069448</v>
      </c>
      <c r="F220" s="297">
        <f t="shared" ca="1" si="26"/>
        <v>3755.0678416667506</v>
      </c>
      <c r="G220" s="288">
        <f t="shared" ca="1" si="25"/>
        <v>156</v>
      </c>
      <c r="H220" s="298" t="s">
        <v>203</v>
      </c>
      <c r="I220" s="299"/>
    </row>
    <row r="221" spans="1:9">
      <c r="A221" s="294">
        <v>45329</v>
      </c>
      <c r="B221" s="292"/>
      <c r="C221" s="295" t="s">
        <v>199</v>
      </c>
      <c r="D221" s="296">
        <v>45329</v>
      </c>
      <c r="E221" s="283">
        <f t="shared" ca="1" si="27"/>
        <v>45484.461160069448</v>
      </c>
      <c r="F221" s="297">
        <f t="shared" ca="1" si="26"/>
        <v>3731.0678416667506</v>
      </c>
      <c r="G221" s="288">
        <f t="shared" ca="1" si="25"/>
        <v>155</v>
      </c>
      <c r="H221" s="298" t="s">
        <v>203</v>
      </c>
      <c r="I221" s="299"/>
    </row>
    <row r="222" spans="1:9">
      <c r="A222" s="294">
        <v>45330</v>
      </c>
      <c r="B222" s="292"/>
      <c r="C222" s="295" t="s">
        <v>199</v>
      </c>
      <c r="D222" s="296">
        <v>45330</v>
      </c>
      <c r="E222" s="283">
        <f t="shared" ca="1" si="27"/>
        <v>45484.461160069448</v>
      </c>
      <c r="F222" s="297">
        <f t="shared" ca="1" si="26"/>
        <v>3707.0678416667506</v>
      </c>
      <c r="G222" s="288">
        <f t="shared" ca="1" si="25"/>
        <v>154</v>
      </c>
      <c r="H222" s="298" t="s">
        <v>203</v>
      </c>
      <c r="I222" s="299"/>
    </row>
    <row r="223" spans="1:9">
      <c r="A223" s="294">
        <v>45331</v>
      </c>
      <c r="B223" s="292"/>
      <c r="C223" s="295" t="s">
        <v>199</v>
      </c>
      <c r="D223" s="296">
        <v>45331</v>
      </c>
      <c r="E223" s="283">
        <f t="shared" ca="1" si="27"/>
        <v>45484.461160069448</v>
      </c>
      <c r="F223" s="297">
        <f t="shared" ca="1" si="26"/>
        <v>3683.0678416667506</v>
      </c>
      <c r="G223" s="288">
        <f t="shared" ca="1" si="25"/>
        <v>153</v>
      </c>
      <c r="H223" s="298" t="s">
        <v>203</v>
      </c>
      <c r="I223" s="299"/>
    </row>
    <row r="224" spans="1:9">
      <c r="A224" s="294">
        <v>45332</v>
      </c>
      <c r="B224" s="292"/>
      <c r="C224" s="295" t="s">
        <v>199</v>
      </c>
      <c r="D224" s="296">
        <v>45332</v>
      </c>
      <c r="E224" s="283">
        <f t="shared" ca="1" si="27"/>
        <v>45484.461160069448</v>
      </c>
      <c r="F224" s="297">
        <f t="shared" ca="1" si="26"/>
        <v>3659.0678416667506</v>
      </c>
      <c r="G224" s="288">
        <f t="shared" ca="1" si="25"/>
        <v>152</v>
      </c>
      <c r="H224" s="298" t="s">
        <v>203</v>
      </c>
      <c r="I224" s="299"/>
    </row>
    <row r="225" spans="1:9">
      <c r="A225" s="294">
        <v>45333</v>
      </c>
      <c r="B225" s="292"/>
      <c r="C225" s="295" t="s">
        <v>199</v>
      </c>
      <c r="D225" s="296">
        <v>45333</v>
      </c>
      <c r="E225" s="283">
        <f t="shared" ca="1" si="27"/>
        <v>45484.461160069448</v>
      </c>
      <c r="F225" s="297">
        <f t="shared" ca="1" si="26"/>
        <v>3635.0678416667506</v>
      </c>
      <c r="G225" s="288">
        <f t="shared" ca="1" si="25"/>
        <v>151</v>
      </c>
      <c r="H225" s="298" t="s">
        <v>203</v>
      </c>
      <c r="I225" s="299"/>
    </row>
    <row r="226" spans="1:9">
      <c r="A226" s="294">
        <v>45334</v>
      </c>
      <c r="B226" s="292"/>
      <c r="C226" s="295" t="s">
        <v>199</v>
      </c>
      <c r="D226" s="296">
        <v>45334</v>
      </c>
      <c r="E226" s="283">
        <f t="shared" ca="1" si="27"/>
        <v>45484.461160069448</v>
      </c>
      <c r="F226" s="297">
        <f t="shared" ca="1" si="26"/>
        <v>3611.0678416667506</v>
      </c>
      <c r="G226" s="288">
        <f t="shared" ca="1" si="25"/>
        <v>150</v>
      </c>
      <c r="H226" s="298" t="s">
        <v>203</v>
      </c>
      <c r="I226" s="299"/>
    </row>
    <row r="227" spans="1:9">
      <c r="A227" s="294">
        <v>45335</v>
      </c>
      <c r="B227" s="292"/>
      <c r="C227" s="295" t="s">
        <v>199</v>
      </c>
      <c r="D227" s="296">
        <v>45335</v>
      </c>
      <c r="E227" s="283">
        <f t="shared" ca="1" si="27"/>
        <v>45484.461160069448</v>
      </c>
      <c r="F227" s="297">
        <f t="shared" ca="1" si="26"/>
        <v>3587.0678416667506</v>
      </c>
      <c r="G227" s="288">
        <f t="shared" ca="1" si="25"/>
        <v>149</v>
      </c>
      <c r="H227" s="298" t="s">
        <v>203</v>
      </c>
      <c r="I227" s="299"/>
    </row>
    <row r="228" spans="1:9">
      <c r="A228" s="294">
        <v>45336</v>
      </c>
      <c r="B228" s="292"/>
      <c r="C228" s="295" t="s">
        <v>199</v>
      </c>
      <c r="D228" s="296">
        <v>45336</v>
      </c>
      <c r="E228" s="283">
        <f t="shared" ca="1" si="27"/>
        <v>45484.461160069448</v>
      </c>
      <c r="F228" s="297">
        <f t="shared" ca="1" si="26"/>
        <v>3563.0678416667506</v>
      </c>
      <c r="G228" s="288">
        <f t="shared" ca="1" si="25"/>
        <v>148</v>
      </c>
      <c r="H228" s="298" t="s">
        <v>203</v>
      </c>
      <c r="I228" s="299"/>
    </row>
    <row r="229" spans="1:9">
      <c r="A229" s="294">
        <v>45337</v>
      </c>
      <c r="B229" s="292"/>
      <c r="C229" s="295" t="s">
        <v>199</v>
      </c>
      <c r="D229" s="296">
        <v>45337</v>
      </c>
      <c r="E229" s="283">
        <f t="shared" ca="1" si="27"/>
        <v>45484.461160069448</v>
      </c>
      <c r="F229" s="297">
        <f t="shared" ca="1" si="26"/>
        <v>3539.0678416667506</v>
      </c>
      <c r="G229" s="288">
        <f t="shared" ca="1" si="25"/>
        <v>147</v>
      </c>
      <c r="H229" s="298" t="s">
        <v>203</v>
      </c>
      <c r="I229" s="299"/>
    </row>
    <row r="230" spans="1:9">
      <c r="A230" s="294">
        <v>45338</v>
      </c>
      <c r="B230" s="292"/>
      <c r="C230" s="295" t="s">
        <v>199</v>
      </c>
      <c r="D230" s="296">
        <v>45338</v>
      </c>
      <c r="E230" s="283">
        <f t="shared" ca="1" si="27"/>
        <v>45484.461160069448</v>
      </c>
      <c r="F230" s="297">
        <f t="shared" ca="1" si="26"/>
        <v>3515.0678416667506</v>
      </c>
      <c r="G230" s="288">
        <f t="shared" ca="1" si="25"/>
        <v>146</v>
      </c>
      <c r="H230" s="298" t="s">
        <v>203</v>
      </c>
      <c r="I230" s="299"/>
    </row>
    <row r="231" spans="1:9">
      <c r="A231" s="294">
        <v>45339</v>
      </c>
      <c r="B231" s="292"/>
      <c r="C231" s="295" t="s">
        <v>199</v>
      </c>
      <c r="D231" s="296">
        <v>45339</v>
      </c>
      <c r="E231" s="283">
        <f t="shared" ca="1" si="27"/>
        <v>45484.461160069448</v>
      </c>
      <c r="F231" s="297">
        <f t="shared" ca="1" si="26"/>
        <v>3491.0678416667506</v>
      </c>
      <c r="G231" s="288">
        <f t="shared" ca="1" si="25"/>
        <v>145</v>
      </c>
      <c r="H231" s="298" t="s">
        <v>203</v>
      </c>
      <c r="I231" s="299"/>
    </row>
    <row r="232" spans="1:9">
      <c r="A232" s="294">
        <v>45340</v>
      </c>
      <c r="B232" s="292"/>
      <c r="C232" s="295" t="s">
        <v>199</v>
      </c>
      <c r="D232" s="296">
        <v>45340</v>
      </c>
      <c r="E232" s="283">
        <f t="shared" ca="1" si="27"/>
        <v>45484.461160069448</v>
      </c>
      <c r="F232" s="297">
        <f t="shared" ca="1" si="26"/>
        <v>3467.0678416667506</v>
      </c>
      <c r="G232" s="288">
        <f t="shared" ca="1" si="25"/>
        <v>144</v>
      </c>
      <c r="H232" s="298" t="s">
        <v>203</v>
      </c>
      <c r="I232" s="299"/>
    </row>
    <row r="233" spans="1:9">
      <c r="A233" s="294">
        <v>45341</v>
      </c>
      <c r="B233" s="292"/>
      <c r="C233" s="295" t="s">
        <v>199</v>
      </c>
      <c r="D233" s="296">
        <v>45341</v>
      </c>
      <c r="E233" s="283">
        <f t="shared" ca="1" si="27"/>
        <v>45484.461160069448</v>
      </c>
      <c r="F233" s="297">
        <f t="shared" ca="1" si="26"/>
        <v>3443.0678416667506</v>
      </c>
      <c r="G233" s="288">
        <f t="shared" ca="1" si="25"/>
        <v>143</v>
      </c>
      <c r="H233" s="298" t="s">
        <v>203</v>
      </c>
      <c r="I233" s="299"/>
    </row>
    <row r="234" spans="1:9">
      <c r="A234" s="294">
        <v>45342</v>
      </c>
      <c r="B234" s="292"/>
      <c r="C234" s="295" t="s">
        <v>199</v>
      </c>
      <c r="D234" s="296">
        <v>45342</v>
      </c>
      <c r="E234" s="283">
        <f t="shared" ca="1" si="27"/>
        <v>45484.461160069448</v>
      </c>
      <c r="F234" s="297">
        <f t="shared" ca="1" si="26"/>
        <v>3419.0678416667506</v>
      </c>
      <c r="G234" s="288">
        <f t="shared" ca="1" si="25"/>
        <v>142</v>
      </c>
      <c r="H234" s="298" t="s">
        <v>203</v>
      </c>
      <c r="I234" s="299"/>
    </row>
    <row r="235" spans="1:9">
      <c r="A235" s="294">
        <v>45343</v>
      </c>
      <c r="B235" s="292"/>
      <c r="C235" s="295" t="s">
        <v>199</v>
      </c>
      <c r="D235" s="296">
        <v>45343</v>
      </c>
      <c r="E235" s="283">
        <f t="shared" ca="1" si="27"/>
        <v>45484.461160069448</v>
      </c>
      <c r="F235" s="297">
        <f t="shared" ca="1" si="26"/>
        <v>3395.0678416667506</v>
      </c>
      <c r="G235" s="288">
        <f t="shared" ca="1" si="25"/>
        <v>141</v>
      </c>
      <c r="H235" s="298" t="s">
        <v>203</v>
      </c>
      <c r="I235" s="299"/>
    </row>
    <row r="236" spans="1:9">
      <c r="A236" s="294">
        <v>45344</v>
      </c>
      <c r="B236" s="292"/>
      <c r="C236" s="295" t="s">
        <v>199</v>
      </c>
      <c r="D236" s="296">
        <v>45344</v>
      </c>
      <c r="E236" s="283">
        <f t="shared" ca="1" si="27"/>
        <v>45484.461160069448</v>
      </c>
      <c r="F236" s="297">
        <f t="shared" ca="1" si="26"/>
        <v>3371.0678416667506</v>
      </c>
      <c r="G236" s="288">
        <f t="shared" ca="1" si="25"/>
        <v>140</v>
      </c>
      <c r="H236" s="298" t="s">
        <v>203</v>
      </c>
      <c r="I236" s="299"/>
    </row>
    <row r="237" spans="1:9">
      <c r="A237" s="294">
        <v>45345</v>
      </c>
      <c r="B237" s="292"/>
      <c r="C237" s="295" t="s">
        <v>199</v>
      </c>
      <c r="D237" s="296">
        <v>45345</v>
      </c>
      <c r="E237" s="283">
        <f t="shared" ca="1" si="27"/>
        <v>45484.461160069448</v>
      </c>
      <c r="F237" s="297">
        <f t="shared" ca="1" si="26"/>
        <v>3347.0678416667506</v>
      </c>
      <c r="G237" s="288">
        <f t="shared" ca="1" si="25"/>
        <v>139</v>
      </c>
      <c r="H237" s="298" t="s">
        <v>203</v>
      </c>
      <c r="I237" s="299"/>
    </row>
    <row r="238" spans="1:9">
      <c r="A238" s="294">
        <v>45346</v>
      </c>
      <c r="B238" s="292"/>
      <c r="C238" s="295" t="s">
        <v>199</v>
      </c>
      <c r="D238" s="296">
        <v>45346</v>
      </c>
      <c r="E238" s="283">
        <f t="shared" ca="1" si="27"/>
        <v>45484.461160069448</v>
      </c>
      <c r="F238" s="297">
        <f t="shared" ca="1" si="26"/>
        <v>3323.0678416667506</v>
      </c>
      <c r="G238" s="288">
        <f t="shared" ca="1" si="25"/>
        <v>138</v>
      </c>
      <c r="H238" s="298" t="s">
        <v>203</v>
      </c>
      <c r="I238" s="299"/>
    </row>
    <row r="239" spans="1:9">
      <c r="A239" s="294">
        <v>45347</v>
      </c>
      <c r="B239" s="292"/>
      <c r="C239" s="295" t="s">
        <v>199</v>
      </c>
      <c r="D239" s="296">
        <v>45347</v>
      </c>
      <c r="E239" s="283">
        <f t="shared" ca="1" si="27"/>
        <v>45484.461160069448</v>
      </c>
      <c r="F239" s="297">
        <f t="shared" ca="1" si="26"/>
        <v>3299.0678416667506</v>
      </c>
      <c r="G239" s="288">
        <f t="shared" ca="1" si="25"/>
        <v>137</v>
      </c>
      <c r="H239" s="298" t="s">
        <v>203</v>
      </c>
      <c r="I239" s="299"/>
    </row>
    <row r="240" spans="1:9">
      <c r="A240" s="294">
        <v>45348</v>
      </c>
      <c r="B240" s="292"/>
      <c r="C240" s="295" t="s">
        <v>199</v>
      </c>
      <c r="D240" s="296">
        <v>45348</v>
      </c>
      <c r="E240" s="283">
        <f t="shared" ca="1" si="27"/>
        <v>45484.461160069448</v>
      </c>
      <c r="F240" s="297">
        <f t="shared" ca="1" si="26"/>
        <v>3275.0678416667506</v>
      </c>
      <c r="G240" s="288">
        <f t="shared" ca="1" si="25"/>
        <v>136</v>
      </c>
      <c r="H240" s="298" t="s">
        <v>203</v>
      </c>
      <c r="I240" s="299"/>
    </row>
    <row r="241" spans="1:9">
      <c r="A241" s="294">
        <v>45349</v>
      </c>
      <c r="B241" s="292"/>
      <c r="C241" s="295" t="s">
        <v>199</v>
      </c>
      <c r="D241" s="296">
        <v>45349</v>
      </c>
      <c r="E241" s="283">
        <f t="shared" ca="1" si="27"/>
        <v>45484.461160069448</v>
      </c>
      <c r="F241" s="297">
        <f t="shared" ca="1" si="26"/>
        <v>3251.0678416667506</v>
      </c>
      <c r="G241" s="288">
        <f t="shared" ca="1" si="25"/>
        <v>135</v>
      </c>
      <c r="H241" s="298" t="s">
        <v>203</v>
      </c>
      <c r="I241" s="299"/>
    </row>
    <row r="242" spans="1:9">
      <c r="A242" s="294">
        <v>45350</v>
      </c>
      <c r="B242" s="292"/>
      <c r="C242" s="295" t="s">
        <v>199</v>
      </c>
      <c r="D242" s="296">
        <v>45350</v>
      </c>
      <c r="E242" s="283">
        <f t="shared" ca="1" si="27"/>
        <v>45484.461160069448</v>
      </c>
      <c r="F242" s="297">
        <f t="shared" ca="1" si="26"/>
        <v>3227.0678416667506</v>
      </c>
      <c r="G242" s="288">
        <f t="shared" ca="1" si="25"/>
        <v>134</v>
      </c>
      <c r="H242" s="298" t="s">
        <v>203</v>
      </c>
      <c r="I242" s="299"/>
    </row>
    <row r="243" spans="1:9">
      <c r="A243" s="294">
        <v>45351</v>
      </c>
      <c r="B243" s="292"/>
      <c r="C243" s="295" t="s">
        <v>199</v>
      </c>
      <c r="D243" s="296">
        <v>45351</v>
      </c>
      <c r="E243" s="283">
        <f t="shared" ca="1" si="27"/>
        <v>45484.461160069448</v>
      </c>
      <c r="F243" s="297">
        <f t="shared" ca="1" si="26"/>
        <v>3203.0678416667506</v>
      </c>
      <c r="G243" s="288">
        <f t="shared" ca="1" si="25"/>
        <v>133</v>
      </c>
      <c r="H243" s="298" t="s">
        <v>203</v>
      </c>
      <c r="I243" s="299"/>
    </row>
    <row r="244" spans="1:9">
      <c r="A244" s="336" t="s">
        <v>66</v>
      </c>
      <c r="B244" s="317"/>
      <c r="C244" s="295"/>
      <c r="D244" s="296"/>
      <c r="E244" s="283"/>
      <c r="F244" s="297">
        <f ca="1">SUM(F216:F219)</f>
        <v>3774.734230555594</v>
      </c>
      <c r="G244" s="288">
        <f>DATEDIF(D244,E244,"D")</f>
        <v>0</v>
      </c>
      <c r="H244" s="298"/>
      <c r="I244" s="299"/>
    </row>
    <row r="245" spans="1:9">
      <c r="A245" s="291"/>
      <c r="B245" s="292" t="s">
        <v>45</v>
      </c>
      <c r="C245" s="291"/>
      <c r="D245" s="291"/>
      <c r="E245" s="291"/>
      <c r="F245" s="291"/>
      <c r="G245" s="291"/>
      <c r="H245" s="291"/>
      <c r="I245" s="291"/>
    </row>
    <row r="246" spans="1:9">
      <c r="A246" s="294">
        <v>45323</v>
      </c>
      <c r="B246" s="292"/>
      <c r="C246" s="295" t="s">
        <v>199</v>
      </c>
      <c r="D246" s="296">
        <v>45323.000011574077</v>
      </c>
      <c r="E246" s="296">
        <v>45323.999988425923</v>
      </c>
      <c r="F246" s="297">
        <f>(E246-D246)*24</f>
        <v>23.999444444314577</v>
      </c>
      <c r="G246" s="288">
        <f>DATEDIF(D246,E246,"D")</f>
        <v>0</v>
      </c>
      <c r="H246" s="298" t="s">
        <v>203</v>
      </c>
      <c r="I246" s="299" t="s">
        <v>245</v>
      </c>
    </row>
    <row r="247" spans="1:9">
      <c r="A247" s="294">
        <v>45324</v>
      </c>
      <c r="B247" s="292"/>
      <c r="C247" s="295" t="s">
        <v>199</v>
      </c>
      <c r="D247" s="296">
        <v>45324.000011574077</v>
      </c>
      <c r="E247" s="296">
        <v>45324.819456018522</v>
      </c>
      <c r="F247" s="297">
        <f>(E247-D247)*24</f>
        <v>19.666666666686069</v>
      </c>
      <c r="G247" s="288">
        <f t="shared" ref="G247:G274" si="28">DATEDIF(D247,E247,"D")</f>
        <v>0</v>
      </c>
      <c r="H247" s="298" t="s">
        <v>203</v>
      </c>
      <c r="I247" s="299" t="s">
        <v>245</v>
      </c>
    </row>
    <row r="248" spans="1:9">
      <c r="A248" s="294">
        <v>45325</v>
      </c>
      <c r="B248" s="292"/>
      <c r="C248" s="295" t="s">
        <v>199</v>
      </c>
      <c r="D248" s="296">
        <v>45326.000011574077</v>
      </c>
      <c r="E248" s="296">
        <v>45326.000011574077</v>
      </c>
      <c r="F248" s="297">
        <f t="shared" ref="F248:F274" si="29">(E248-D248)*24</f>
        <v>0</v>
      </c>
      <c r="G248" s="288">
        <f t="shared" si="28"/>
        <v>0</v>
      </c>
      <c r="H248" s="298" t="s">
        <v>203</v>
      </c>
      <c r="I248" s="299"/>
    </row>
    <row r="249" spans="1:9">
      <c r="A249" s="294">
        <v>45326</v>
      </c>
      <c r="B249" s="292"/>
      <c r="C249" s="295" t="s">
        <v>199</v>
      </c>
      <c r="D249" s="296">
        <v>45327.000011574077</v>
      </c>
      <c r="E249" s="296">
        <v>45327.000011574077</v>
      </c>
      <c r="F249" s="297">
        <f t="shared" si="29"/>
        <v>0</v>
      </c>
      <c r="G249" s="288">
        <f t="shared" si="28"/>
        <v>0</v>
      </c>
      <c r="H249" s="298" t="s">
        <v>203</v>
      </c>
      <c r="I249" s="299"/>
    </row>
    <row r="250" spans="1:9">
      <c r="A250" s="294">
        <v>45327</v>
      </c>
      <c r="B250" s="292"/>
      <c r="C250" s="295" t="s">
        <v>199</v>
      </c>
      <c r="D250" s="296">
        <v>45328.000011574077</v>
      </c>
      <c r="E250" s="283">
        <f t="shared" ref="E250:E274" ca="1" si="30">NOW()</f>
        <v>45484.461160069448</v>
      </c>
      <c r="F250" s="297">
        <f t="shared" ca="1" si="29"/>
        <v>3755.0675638889079</v>
      </c>
      <c r="G250" s="288">
        <f t="shared" ca="1" si="28"/>
        <v>156</v>
      </c>
      <c r="H250" s="298" t="s">
        <v>203</v>
      </c>
      <c r="I250" s="299"/>
    </row>
    <row r="251" spans="1:9">
      <c r="A251" s="294">
        <v>45328</v>
      </c>
      <c r="B251" s="292"/>
      <c r="C251" s="295" t="s">
        <v>199</v>
      </c>
      <c r="D251" s="296">
        <v>45328</v>
      </c>
      <c r="E251" s="283">
        <f t="shared" ca="1" si="30"/>
        <v>45484.461160069448</v>
      </c>
      <c r="F251" s="297">
        <f t="shared" ca="1" si="29"/>
        <v>3755.0678416667506</v>
      </c>
      <c r="G251" s="288">
        <f t="shared" ca="1" si="28"/>
        <v>156</v>
      </c>
      <c r="H251" s="298" t="s">
        <v>203</v>
      </c>
      <c r="I251" s="299"/>
    </row>
    <row r="252" spans="1:9">
      <c r="A252" s="294">
        <v>45329</v>
      </c>
      <c r="B252" s="292"/>
      <c r="C252" s="295" t="s">
        <v>199</v>
      </c>
      <c r="D252" s="296">
        <v>45329</v>
      </c>
      <c r="E252" s="283">
        <f t="shared" ca="1" si="30"/>
        <v>45484.461160069448</v>
      </c>
      <c r="F252" s="297">
        <f t="shared" ca="1" si="29"/>
        <v>3731.0678416667506</v>
      </c>
      <c r="G252" s="288">
        <f t="shared" ca="1" si="28"/>
        <v>155</v>
      </c>
      <c r="H252" s="298" t="s">
        <v>203</v>
      </c>
      <c r="I252" s="299"/>
    </row>
    <row r="253" spans="1:9">
      <c r="A253" s="294">
        <v>45330</v>
      </c>
      <c r="B253" s="292"/>
      <c r="C253" s="295" t="s">
        <v>199</v>
      </c>
      <c r="D253" s="296">
        <v>45330</v>
      </c>
      <c r="E253" s="283">
        <f t="shared" ca="1" si="30"/>
        <v>45484.461160069448</v>
      </c>
      <c r="F253" s="297">
        <f t="shared" ca="1" si="29"/>
        <v>3707.0678416667506</v>
      </c>
      <c r="G253" s="288">
        <f t="shared" ca="1" si="28"/>
        <v>154</v>
      </c>
      <c r="H253" s="298" t="s">
        <v>203</v>
      </c>
      <c r="I253" s="299"/>
    </row>
    <row r="254" spans="1:9">
      <c r="A254" s="294">
        <v>45331</v>
      </c>
      <c r="B254" s="292"/>
      <c r="C254" s="295" t="s">
        <v>199</v>
      </c>
      <c r="D254" s="296">
        <v>45331</v>
      </c>
      <c r="E254" s="283">
        <f t="shared" ca="1" si="30"/>
        <v>45484.461160069448</v>
      </c>
      <c r="F254" s="297">
        <f t="shared" ca="1" si="29"/>
        <v>3683.0678416667506</v>
      </c>
      <c r="G254" s="288">
        <f t="shared" ca="1" si="28"/>
        <v>153</v>
      </c>
      <c r="H254" s="298" t="s">
        <v>203</v>
      </c>
      <c r="I254" s="299"/>
    </row>
    <row r="255" spans="1:9">
      <c r="A255" s="294">
        <v>45332</v>
      </c>
      <c r="B255" s="292"/>
      <c r="C255" s="295" t="s">
        <v>199</v>
      </c>
      <c r="D255" s="296">
        <v>45332</v>
      </c>
      <c r="E255" s="283">
        <f t="shared" ca="1" si="30"/>
        <v>45484.461160069448</v>
      </c>
      <c r="F255" s="297">
        <f t="shared" ca="1" si="29"/>
        <v>3659.0678416667506</v>
      </c>
      <c r="G255" s="288">
        <f t="shared" ca="1" si="28"/>
        <v>152</v>
      </c>
      <c r="H255" s="298" t="s">
        <v>203</v>
      </c>
      <c r="I255" s="299"/>
    </row>
    <row r="256" spans="1:9">
      <c r="A256" s="294">
        <v>45333</v>
      </c>
      <c r="B256" s="292"/>
      <c r="C256" s="295" t="s">
        <v>199</v>
      </c>
      <c r="D256" s="296">
        <v>45333</v>
      </c>
      <c r="E256" s="283">
        <f t="shared" ca="1" si="30"/>
        <v>45484.461160069448</v>
      </c>
      <c r="F256" s="297">
        <f t="shared" ca="1" si="29"/>
        <v>3635.0678416667506</v>
      </c>
      <c r="G256" s="288">
        <f t="shared" ca="1" si="28"/>
        <v>151</v>
      </c>
      <c r="H256" s="298" t="s">
        <v>203</v>
      </c>
      <c r="I256" s="299"/>
    </row>
    <row r="257" spans="1:9">
      <c r="A257" s="294">
        <v>45334</v>
      </c>
      <c r="B257" s="292"/>
      <c r="C257" s="295" t="s">
        <v>199</v>
      </c>
      <c r="D257" s="296">
        <v>45334</v>
      </c>
      <c r="E257" s="283">
        <f t="shared" ca="1" si="30"/>
        <v>45484.461160069448</v>
      </c>
      <c r="F257" s="297">
        <f t="shared" ca="1" si="29"/>
        <v>3611.0678416667506</v>
      </c>
      <c r="G257" s="288">
        <f t="shared" ca="1" si="28"/>
        <v>150</v>
      </c>
      <c r="H257" s="298" t="s">
        <v>203</v>
      </c>
      <c r="I257" s="299"/>
    </row>
    <row r="258" spans="1:9">
      <c r="A258" s="294">
        <v>45335</v>
      </c>
      <c r="B258" s="292"/>
      <c r="C258" s="295" t="s">
        <v>199</v>
      </c>
      <c r="D258" s="296">
        <v>45335</v>
      </c>
      <c r="E258" s="283">
        <f t="shared" ca="1" si="30"/>
        <v>45484.461160069448</v>
      </c>
      <c r="F258" s="297">
        <f t="shared" ca="1" si="29"/>
        <v>3587.0678416667506</v>
      </c>
      <c r="G258" s="288">
        <f t="shared" ca="1" si="28"/>
        <v>149</v>
      </c>
      <c r="H258" s="298" t="s">
        <v>203</v>
      </c>
      <c r="I258" s="299"/>
    </row>
    <row r="259" spans="1:9">
      <c r="A259" s="294">
        <v>45336</v>
      </c>
      <c r="B259" s="292"/>
      <c r="C259" s="295" t="s">
        <v>199</v>
      </c>
      <c r="D259" s="296">
        <v>45336</v>
      </c>
      <c r="E259" s="283">
        <f t="shared" ca="1" si="30"/>
        <v>45484.461160069448</v>
      </c>
      <c r="F259" s="297">
        <f t="shared" ca="1" si="29"/>
        <v>3563.0678416667506</v>
      </c>
      <c r="G259" s="288">
        <f t="shared" ca="1" si="28"/>
        <v>148</v>
      </c>
      <c r="H259" s="298" t="s">
        <v>203</v>
      </c>
      <c r="I259" s="299"/>
    </row>
    <row r="260" spans="1:9">
      <c r="A260" s="294">
        <v>45337</v>
      </c>
      <c r="B260" s="292"/>
      <c r="C260" s="295" t="s">
        <v>199</v>
      </c>
      <c r="D260" s="296">
        <v>45337</v>
      </c>
      <c r="E260" s="283">
        <f t="shared" ca="1" si="30"/>
        <v>45484.461160069448</v>
      </c>
      <c r="F260" s="297">
        <f t="shared" ca="1" si="29"/>
        <v>3539.0678416667506</v>
      </c>
      <c r="G260" s="288">
        <f t="shared" ca="1" si="28"/>
        <v>147</v>
      </c>
      <c r="H260" s="298" t="s">
        <v>203</v>
      </c>
      <c r="I260" s="299"/>
    </row>
    <row r="261" spans="1:9">
      <c r="A261" s="294">
        <v>45338</v>
      </c>
      <c r="B261" s="292"/>
      <c r="C261" s="295" t="s">
        <v>199</v>
      </c>
      <c r="D261" s="296">
        <v>45338</v>
      </c>
      <c r="E261" s="283">
        <f t="shared" ca="1" si="30"/>
        <v>45484.461160069448</v>
      </c>
      <c r="F261" s="297">
        <f t="shared" ca="1" si="29"/>
        <v>3515.0678416667506</v>
      </c>
      <c r="G261" s="288">
        <f t="shared" ca="1" si="28"/>
        <v>146</v>
      </c>
      <c r="H261" s="298" t="s">
        <v>203</v>
      </c>
      <c r="I261" s="299"/>
    </row>
    <row r="262" spans="1:9">
      <c r="A262" s="294">
        <v>45339</v>
      </c>
      <c r="B262" s="292"/>
      <c r="C262" s="295" t="s">
        <v>199</v>
      </c>
      <c r="D262" s="296">
        <v>45339</v>
      </c>
      <c r="E262" s="283">
        <f t="shared" ca="1" si="30"/>
        <v>45484.461160069448</v>
      </c>
      <c r="F262" s="297">
        <f t="shared" ca="1" si="29"/>
        <v>3491.0678416667506</v>
      </c>
      <c r="G262" s="288">
        <f t="shared" ca="1" si="28"/>
        <v>145</v>
      </c>
      <c r="H262" s="298" t="s">
        <v>203</v>
      </c>
      <c r="I262" s="299"/>
    </row>
    <row r="263" spans="1:9">
      <c r="A263" s="294">
        <v>45340</v>
      </c>
      <c r="B263" s="292"/>
      <c r="C263" s="295" t="s">
        <v>199</v>
      </c>
      <c r="D263" s="296">
        <v>45340</v>
      </c>
      <c r="E263" s="283">
        <f t="shared" ca="1" si="30"/>
        <v>45484.461160069448</v>
      </c>
      <c r="F263" s="297">
        <f t="shared" ca="1" si="29"/>
        <v>3467.0678416667506</v>
      </c>
      <c r="G263" s="288">
        <f t="shared" ca="1" si="28"/>
        <v>144</v>
      </c>
      <c r="H263" s="298" t="s">
        <v>203</v>
      </c>
      <c r="I263" s="299"/>
    </row>
    <row r="264" spans="1:9">
      <c r="A264" s="294">
        <v>45341</v>
      </c>
      <c r="B264" s="292"/>
      <c r="C264" s="295" t="s">
        <v>199</v>
      </c>
      <c r="D264" s="296">
        <v>45341</v>
      </c>
      <c r="E264" s="283">
        <f t="shared" ca="1" si="30"/>
        <v>45484.461160069448</v>
      </c>
      <c r="F264" s="297">
        <f t="shared" ca="1" si="29"/>
        <v>3443.0678416667506</v>
      </c>
      <c r="G264" s="288">
        <f t="shared" ca="1" si="28"/>
        <v>143</v>
      </c>
      <c r="H264" s="298" t="s">
        <v>203</v>
      </c>
      <c r="I264" s="299"/>
    </row>
    <row r="265" spans="1:9">
      <c r="A265" s="294">
        <v>45342</v>
      </c>
      <c r="B265" s="292"/>
      <c r="C265" s="295" t="s">
        <v>199</v>
      </c>
      <c r="D265" s="296">
        <v>45342</v>
      </c>
      <c r="E265" s="283">
        <f t="shared" ca="1" si="30"/>
        <v>45484.461160069448</v>
      </c>
      <c r="F265" s="297">
        <f t="shared" ca="1" si="29"/>
        <v>3419.0678416667506</v>
      </c>
      <c r="G265" s="288">
        <f t="shared" ca="1" si="28"/>
        <v>142</v>
      </c>
      <c r="H265" s="298" t="s">
        <v>203</v>
      </c>
      <c r="I265" s="299"/>
    </row>
    <row r="266" spans="1:9">
      <c r="A266" s="294">
        <v>45343</v>
      </c>
      <c r="B266" s="292"/>
      <c r="C266" s="295" t="s">
        <v>199</v>
      </c>
      <c r="D266" s="296">
        <v>45343</v>
      </c>
      <c r="E266" s="283">
        <f t="shared" ca="1" si="30"/>
        <v>45484.461160069448</v>
      </c>
      <c r="F266" s="297">
        <f t="shared" ca="1" si="29"/>
        <v>3395.0678416667506</v>
      </c>
      <c r="G266" s="288">
        <f t="shared" ca="1" si="28"/>
        <v>141</v>
      </c>
      <c r="H266" s="298" t="s">
        <v>203</v>
      </c>
      <c r="I266" s="299"/>
    </row>
    <row r="267" spans="1:9">
      <c r="A267" s="294">
        <v>45344</v>
      </c>
      <c r="B267" s="292"/>
      <c r="C267" s="295" t="s">
        <v>199</v>
      </c>
      <c r="D267" s="296">
        <v>45344</v>
      </c>
      <c r="E267" s="283">
        <f t="shared" ca="1" si="30"/>
        <v>45484.461160069448</v>
      </c>
      <c r="F267" s="297">
        <f t="shared" ca="1" si="29"/>
        <v>3371.0678416667506</v>
      </c>
      <c r="G267" s="288">
        <f t="shared" ca="1" si="28"/>
        <v>140</v>
      </c>
      <c r="H267" s="298" t="s">
        <v>203</v>
      </c>
      <c r="I267" s="299"/>
    </row>
    <row r="268" spans="1:9">
      <c r="A268" s="294">
        <v>45345</v>
      </c>
      <c r="B268" s="292"/>
      <c r="C268" s="295" t="s">
        <v>199</v>
      </c>
      <c r="D268" s="296">
        <v>45345</v>
      </c>
      <c r="E268" s="283">
        <f t="shared" ca="1" si="30"/>
        <v>45484.461160069448</v>
      </c>
      <c r="F268" s="297">
        <f t="shared" ca="1" si="29"/>
        <v>3347.0678416667506</v>
      </c>
      <c r="G268" s="288">
        <f t="shared" ca="1" si="28"/>
        <v>139</v>
      </c>
      <c r="H268" s="298" t="s">
        <v>203</v>
      </c>
      <c r="I268" s="299"/>
    </row>
    <row r="269" spans="1:9">
      <c r="A269" s="294">
        <v>45346</v>
      </c>
      <c r="B269" s="292"/>
      <c r="C269" s="295" t="s">
        <v>199</v>
      </c>
      <c r="D269" s="296">
        <v>45346</v>
      </c>
      <c r="E269" s="283">
        <f t="shared" ca="1" si="30"/>
        <v>45484.461160069448</v>
      </c>
      <c r="F269" s="297">
        <f t="shared" ca="1" si="29"/>
        <v>3323.0678416667506</v>
      </c>
      <c r="G269" s="288">
        <f t="shared" ca="1" si="28"/>
        <v>138</v>
      </c>
      <c r="H269" s="298" t="s">
        <v>203</v>
      </c>
      <c r="I269" s="299"/>
    </row>
    <row r="270" spans="1:9">
      <c r="A270" s="294">
        <v>45347</v>
      </c>
      <c r="B270" s="292"/>
      <c r="C270" s="295" t="s">
        <v>199</v>
      </c>
      <c r="D270" s="296">
        <v>45347</v>
      </c>
      <c r="E270" s="283">
        <f t="shared" ca="1" si="30"/>
        <v>45484.461160069448</v>
      </c>
      <c r="F270" s="297">
        <f t="shared" ca="1" si="29"/>
        <v>3299.0678416667506</v>
      </c>
      <c r="G270" s="288">
        <f t="shared" ca="1" si="28"/>
        <v>137</v>
      </c>
      <c r="H270" s="298" t="s">
        <v>203</v>
      </c>
      <c r="I270" s="299"/>
    </row>
    <row r="271" spans="1:9">
      <c r="A271" s="294">
        <v>45348</v>
      </c>
      <c r="B271" s="292"/>
      <c r="C271" s="295" t="s">
        <v>199</v>
      </c>
      <c r="D271" s="296">
        <v>45348</v>
      </c>
      <c r="E271" s="283">
        <f t="shared" ca="1" si="30"/>
        <v>45484.461160069448</v>
      </c>
      <c r="F271" s="297">
        <f t="shared" ca="1" si="29"/>
        <v>3275.0678416667506</v>
      </c>
      <c r="G271" s="288">
        <f t="shared" ca="1" si="28"/>
        <v>136</v>
      </c>
      <c r="H271" s="298" t="s">
        <v>203</v>
      </c>
      <c r="I271" s="299"/>
    </row>
    <row r="272" spans="1:9">
      <c r="A272" s="294">
        <v>45349</v>
      </c>
      <c r="B272" s="292"/>
      <c r="C272" s="295" t="s">
        <v>199</v>
      </c>
      <c r="D272" s="296">
        <v>45349</v>
      </c>
      <c r="E272" s="283">
        <f t="shared" ca="1" si="30"/>
        <v>45484.461160069448</v>
      </c>
      <c r="F272" s="297">
        <f t="shared" ca="1" si="29"/>
        <v>3251.0678416667506</v>
      </c>
      <c r="G272" s="288">
        <f t="shared" ca="1" si="28"/>
        <v>135</v>
      </c>
      <c r="H272" s="298" t="s">
        <v>203</v>
      </c>
      <c r="I272" s="299"/>
    </row>
    <row r="273" spans="1:9">
      <c r="A273" s="294">
        <v>45350</v>
      </c>
      <c r="B273" s="292"/>
      <c r="C273" s="295" t="s">
        <v>199</v>
      </c>
      <c r="D273" s="296">
        <v>45350</v>
      </c>
      <c r="E273" s="283">
        <f t="shared" ca="1" si="30"/>
        <v>45484.461160069448</v>
      </c>
      <c r="F273" s="297">
        <f t="shared" ca="1" si="29"/>
        <v>3227.0678416667506</v>
      </c>
      <c r="G273" s="288">
        <f t="shared" ca="1" si="28"/>
        <v>134</v>
      </c>
      <c r="H273" s="298" t="s">
        <v>203</v>
      </c>
      <c r="I273" s="299"/>
    </row>
    <row r="274" spans="1:9">
      <c r="A274" s="294">
        <v>45351</v>
      </c>
      <c r="B274" s="292"/>
      <c r="C274" s="295" t="s">
        <v>199</v>
      </c>
      <c r="D274" s="296">
        <v>45351</v>
      </c>
      <c r="E274" s="283">
        <f t="shared" ca="1" si="30"/>
        <v>45484.461160069448</v>
      </c>
      <c r="F274" s="297">
        <f t="shared" ca="1" si="29"/>
        <v>3203.0678416667506</v>
      </c>
      <c r="G274" s="288">
        <f t="shared" ca="1" si="28"/>
        <v>133</v>
      </c>
      <c r="H274" s="298" t="s">
        <v>203</v>
      </c>
      <c r="I274" s="299"/>
    </row>
    <row r="275" spans="1:9">
      <c r="A275" s="336" t="s">
        <v>66</v>
      </c>
      <c r="B275" s="317"/>
      <c r="C275" s="295"/>
      <c r="D275" s="296"/>
      <c r="E275" s="283"/>
      <c r="F275" s="297">
        <f ca="1">SUM(F247:F250)</f>
        <v>3774.734230555594</v>
      </c>
      <c r="G275" s="288">
        <f>DATEDIF(D275,E275,"D")</f>
        <v>0</v>
      </c>
      <c r="H275" s="298"/>
      <c r="I275" s="299"/>
    </row>
    <row r="276" spans="1:9">
      <c r="A276" s="291"/>
      <c r="B276" s="292" t="s">
        <v>47</v>
      </c>
      <c r="C276" s="291"/>
      <c r="D276" s="291"/>
      <c r="E276" s="291"/>
      <c r="F276" s="291"/>
      <c r="G276" s="291"/>
      <c r="H276" s="291"/>
      <c r="I276" s="291"/>
    </row>
    <row r="277" spans="1:9">
      <c r="A277" s="294">
        <v>45323</v>
      </c>
      <c r="B277" s="292"/>
      <c r="C277" s="295" t="s">
        <v>199</v>
      </c>
      <c r="D277" s="296">
        <v>45323.000011574077</v>
      </c>
      <c r="E277" s="296">
        <v>45323.999988425923</v>
      </c>
      <c r="F277" s="297">
        <f>(E277-D277)*24</f>
        <v>23.999444444314577</v>
      </c>
      <c r="G277" s="288">
        <f>DATEDIF(D277,E277,"D")</f>
        <v>0</v>
      </c>
      <c r="H277" s="298" t="s">
        <v>203</v>
      </c>
      <c r="I277" s="299" t="s">
        <v>245</v>
      </c>
    </row>
    <row r="278" spans="1:9">
      <c r="A278" s="294">
        <v>45324</v>
      </c>
      <c r="B278" s="292"/>
      <c r="C278" s="295" t="s">
        <v>199</v>
      </c>
      <c r="D278" s="296">
        <v>45324.000011574077</v>
      </c>
      <c r="E278" s="296">
        <v>45324.819456018522</v>
      </c>
      <c r="F278" s="297">
        <f>(E278-D278)*24</f>
        <v>19.666666666686069</v>
      </c>
      <c r="G278" s="288">
        <f t="shared" ref="G278:G305" si="31">DATEDIF(D278,E278,"D")</f>
        <v>0</v>
      </c>
      <c r="H278" s="298" t="s">
        <v>203</v>
      </c>
      <c r="I278" s="299" t="s">
        <v>245</v>
      </c>
    </row>
    <row r="279" spans="1:9">
      <c r="A279" s="294">
        <v>45325</v>
      </c>
      <c r="B279" s="292"/>
      <c r="C279" s="295" t="s">
        <v>199</v>
      </c>
      <c r="D279" s="296">
        <v>45326.000011574077</v>
      </c>
      <c r="E279" s="296">
        <v>45326.000011574077</v>
      </c>
      <c r="F279" s="297">
        <f t="shared" ref="F279:F305" si="32">(E279-D279)*24</f>
        <v>0</v>
      </c>
      <c r="G279" s="288">
        <f t="shared" si="31"/>
        <v>0</v>
      </c>
      <c r="H279" s="298" t="s">
        <v>203</v>
      </c>
      <c r="I279" s="299"/>
    </row>
    <row r="280" spans="1:9">
      <c r="A280" s="294">
        <v>45326</v>
      </c>
      <c r="B280" s="292"/>
      <c r="C280" s="295" t="s">
        <v>199</v>
      </c>
      <c r="D280" s="296">
        <v>45327.000011574077</v>
      </c>
      <c r="E280" s="296">
        <v>45327.000011574077</v>
      </c>
      <c r="F280" s="297">
        <f t="shared" si="32"/>
        <v>0</v>
      </c>
      <c r="G280" s="288">
        <f t="shared" si="31"/>
        <v>0</v>
      </c>
      <c r="H280" s="298" t="s">
        <v>203</v>
      </c>
      <c r="I280" s="299"/>
    </row>
    <row r="281" spans="1:9">
      <c r="A281" s="294">
        <v>45327</v>
      </c>
      <c r="B281" s="292"/>
      <c r="C281" s="295" t="s">
        <v>199</v>
      </c>
      <c r="D281" s="296">
        <v>45328.000011574077</v>
      </c>
      <c r="E281" s="283">
        <f t="shared" ref="E281:E305" ca="1" si="33">NOW()</f>
        <v>45484.461160069448</v>
      </c>
      <c r="F281" s="297">
        <f t="shared" ca="1" si="32"/>
        <v>3755.0675638889079</v>
      </c>
      <c r="G281" s="288">
        <f t="shared" ca="1" si="31"/>
        <v>156</v>
      </c>
      <c r="H281" s="298" t="s">
        <v>203</v>
      </c>
      <c r="I281" s="299"/>
    </row>
    <row r="282" spans="1:9">
      <c r="A282" s="294">
        <v>45328</v>
      </c>
      <c r="B282" s="292"/>
      <c r="C282" s="295" t="s">
        <v>199</v>
      </c>
      <c r="D282" s="296">
        <v>45328</v>
      </c>
      <c r="E282" s="283">
        <f t="shared" ca="1" si="33"/>
        <v>45484.461160069448</v>
      </c>
      <c r="F282" s="297">
        <f t="shared" ca="1" si="32"/>
        <v>3755.0678416667506</v>
      </c>
      <c r="G282" s="288">
        <f t="shared" ca="1" si="31"/>
        <v>156</v>
      </c>
      <c r="H282" s="298" t="s">
        <v>203</v>
      </c>
      <c r="I282" s="299"/>
    </row>
    <row r="283" spans="1:9">
      <c r="A283" s="294">
        <v>45329</v>
      </c>
      <c r="B283" s="292"/>
      <c r="C283" s="295" t="s">
        <v>199</v>
      </c>
      <c r="D283" s="296">
        <v>45329</v>
      </c>
      <c r="E283" s="283">
        <f t="shared" ca="1" si="33"/>
        <v>45484.461160069448</v>
      </c>
      <c r="F283" s="297">
        <f t="shared" ca="1" si="32"/>
        <v>3731.0678416667506</v>
      </c>
      <c r="G283" s="288">
        <f t="shared" ca="1" si="31"/>
        <v>155</v>
      </c>
      <c r="H283" s="298" t="s">
        <v>203</v>
      </c>
      <c r="I283" s="299"/>
    </row>
    <row r="284" spans="1:9">
      <c r="A284" s="294">
        <v>45330</v>
      </c>
      <c r="B284" s="292"/>
      <c r="C284" s="295" t="s">
        <v>199</v>
      </c>
      <c r="D284" s="296">
        <v>45330</v>
      </c>
      <c r="E284" s="283">
        <f t="shared" ca="1" si="33"/>
        <v>45484.461160069448</v>
      </c>
      <c r="F284" s="297">
        <f t="shared" ca="1" si="32"/>
        <v>3707.0678416667506</v>
      </c>
      <c r="G284" s="288">
        <f t="shared" ca="1" si="31"/>
        <v>154</v>
      </c>
      <c r="H284" s="298" t="s">
        <v>203</v>
      </c>
      <c r="I284" s="299"/>
    </row>
    <row r="285" spans="1:9">
      <c r="A285" s="294">
        <v>45331</v>
      </c>
      <c r="B285" s="292"/>
      <c r="C285" s="295" t="s">
        <v>199</v>
      </c>
      <c r="D285" s="296">
        <v>45331</v>
      </c>
      <c r="E285" s="283">
        <f t="shared" ca="1" si="33"/>
        <v>45484.461160069448</v>
      </c>
      <c r="F285" s="297">
        <f t="shared" ca="1" si="32"/>
        <v>3683.0678416667506</v>
      </c>
      <c r="G285" s="288">
        <f t="shared" ca="1" si="31"/>
        <v>153</v>
      </c>
      <c r="H285" s="298" t="s">
        <v>203</v>
      </c>
      <c r="I285" s="299"/>
    </row>
    <row r="286" spans="1:9">
      <c r="A286" s="294">
        <v>45332</v>
      </c>
      <c r="B286" s="292"/>
      <c r="C286" s="295" t="s">
        <v>199</v>
      </c>
      <c r="D286" s="296">
        <v>45332</v>
      </c>
      <c r="E286" s="283">
        <f t="shared" ca="1" si="33"/>
        <v>45484.461160069448</v>
      </c>
      <c r="F286" s="297">
        <f t="shared" ca="1" si="32"/>
        <v>3659.0678416667506</v>
      </c>
      <c r="G286" s="288">
        <f t="shared" ca="1" si="31"/>
        <v>152</v>
      </c>
      <c r="H286" s="298" t="s">
        <v>203</v>
      </c>
      <c r="I286" s="299"/>
    </row>
    <row r="287" spans="1:9">
      <c r="A287" s="294">
        <v>45333</v>
      </c>
      <c r="B287" s="292"/>
      <c r="C287" s="295" t="s">
        <v>199</v>
      </c>
      <c r="D287" s="296">
        <v>45333</v>
      </c>
      <c r="E287" s="283">
        <f t="shared" ca="1" si="33"/>
        <v>45484.461160069448</v>
      </c>
      <c r="F287" s="297">
        <f t="shared" ca="1" si="32"/>
        <v>3635.0678416667506</v>
      </c>
      <c r="G287" s="288">
        <f t="shared" ca="1" si="31"/>
        <v>151</v>
      </c>
      <c r="H287" s="298" t="s">
        <v>203</v>
      </c>
      <c r="I287" s="299"/>
    </row>
    <row r="288" spans="1:9">
      <c r="A288" s="294">
        <v>45334</v>
      </c>
      <c r="B288" s="292"/>
      <c r="C288" s="295" t="s">
        <v>199</v>
      </c>
      <c r="D288" s="296">
        <v>45334</v>
      </c>
      <c r="E288" s="283">
        <f t="shared" ca="1" si="33"/>
        <v>45484.461160069448</v>
      </c>
      <c r="F288" s="297">
        <f t="shared" ca="1" si="32"/>
        <v>3611.0678416667506</v>
      </c>
      <c r="G288" s="288">
        <f t="shared" ca="1" si="31"/>
        <v>150</v>
      </c>
      <c r="H288" s="298" t="s">
        <v>203</v>
      </c>
      <c r="I288" s="299"/>
    </row>
    <row r="289" spans="1:9">
      <c r="A289" s="294">
        <v>45335</v>
      </c>
      <c r="B289" s="292"/>
      <c r="C289" s="295" t="s">
        <v>199</v>
      </c>
      <c r="D289" s="296">
        <v>45335</v>
      </c>
      <c r="E289" s="283">
        <f t="shared" ca="1" si="33"/>
        <v>45484.461160069448</v>
      </c>
      <c r="F289" s="297">
        <f t="shared" ca="1" si="32"/>
        <v>3587.0678416667506</v>
      </c>
      <c r="G289" s="288">
        <f t="shared" ca="1" si="31"/>
        <v>149</v>
      </c>
      <c r="H289" s="298" t="s">
        <v>203</v>
      </c>
      <c r="I289" s="299"/>
    </row>
    <row r="290" spans="1:9">
      <c r="A290" s="294">
        <v>45336</v>
      </c>
      <c r="B290" s="292"/>
      <c r="C290" s="295" t="s">
        <v>199</v>
      </c>
      <c r="D290" s="296">
        <v>45336</v>
      </c>
      <c r="E290" s="283">
        <f t="shared" ca="1" si="33"/>
        <v>45484.461160069448</v>
      </c>
      <c r="F290" s="297">
        <f t="shared" ca="1" si="32"/>
        <v>3563.0678416667506</v>
      </c>
      <c r="G290" s="288">
        <f t="shared" ca="1" si="31"/>
        <v>148</v>
      </c>
      <c r="H290" s="298" t="s">
        <v>203</v>
      </c>
      <c r="I290" s="299"/>
    </row>
    <row r="291" spans="1:9">
      <c r="A291" s="294">
        <v>45337</v>
      </c>
      <c r="B291" s="292"/>
      <c r="C291" s="295" t="s">
        <v>199</v>
      </c>
      <c r="D291" s="296">
        <v>45337</v>
      </c>
      <c r="E291" s="283">
        <f t="shared" ca="1" si="33"/>
        <v>45484.461160069448</v>
      </c>
      <c r="F291" s="297">
        <f t="shared" ca="1" si="32"/>
        <v>3539.0678416667506</v>
      </c>
      <c r="G291" s="288">
        <f t="shared" ca="1" si="31"/>
        <v>147</v>
      </c>
      <c r="H291" s="298" t="s">
        <v>203</v>
      </c>
      <c r="I291" s="299"/>
    </row>
    <row r="292" spans="1:9">
      <c r="A292" s="294">
        <v>45338</v>
      </c>
      <c r="B292" s="292"/>
      <c r="C292" s="295" t="s">
        <v>199</v>
      </c>
      <c r="D292" s="296">
        <v>45338</v>
      </c>
      <c r="E292" s="283">
        <f t="shared" ca="1" si="33"/>
        <v>45484.461160069448</v>
      </c>
      <c r="F292" s="297">
        <f t="shared" ca="1" si="32"/>
        <v>3515.0678416667506</v>
      </c>
      <c r="G292" s="288">
        <f t="shared" ca="1" si="31"/>
        <v>146</v>
      </c>
      <c r="H292" s="298" t="s">
        <v>203</v>
      </c>
      <c r="I292" s="299"/>
    </row>
    <row r="293" spans="1:9">
      <c r="A293" s="294">
        <v>45339</v>
      </c>
      <c r="B293" s="292"/>
      <c r="C293" s="295" t="s">
        <v>199</v>
      </c>
      <c r="D293" s="296">
        <v>45339</v>
      </c>
      <c r="E293" s="283">
        <f t="shared" ca="1" si="33"/>
        <v>45484.461160069448</v>
      </c>
      <c r="F293" s="297">
        <f t="shared" ca="1" si="32"/>
        <v>3491.0678416667506</v>
      </c>
      <c r="G293" s="288">
        <f t="shared" ca="1" si="31"/>
        <v>145</v>
      </c>
      <c r="H293" s="298" t="s">
        <v>203</v>
      </c>
      <c r="I293" s="299"/>
    </row>
    <row r="294" spans="1:9">
      <c r="A294" s="294">
        <v>45340</v>
      </c>
      <c r="B294" s="292"/>
      <c r="C294" s="295" t="s">
        <v>199</v>
      </c>
      <c r="D294" s="296">
        <v>45340</v>
      </c>
      <c r="E294" s="283">
        <f t="shared" ca="1" si="33"/>
        <v>45484.461160069448</v>
      </c>
      <c r="F294" s="297">
        <f t="shared" ca="1" si="32"/>
        <v>3467.0678416667506</v>
      </c>
      <c r="G294" s="288">
        <f t="shared" ca="1" si="31"/>
        <v>144</v>
      </c>
      <c r="H294" s="298" t="s">
        <v>203</v>
      </c>
      <c r="I294" s="299"/>
    </row>
    <row r="295" spans="1:9">
      <c r="A295" s="294">
        <v>45341</v>
      </c>
      <c r="B295" s="292"/>
      <c r="C295" s="295" t="s">
        <v>199</v>
      </c>
      <c r="D295" s="296">
        <v>45341</v>
      </c>
      <c r="E295" s="283">
        <f t="shared" ca="1" si="33"/>
        <v>45484.461160069448</v>
      </c>
      <c r="F295" s="297">
        <f t="shared" ca="1" si="32"/>
        <v>3443.0678416667506</v>
      </c>
      <c r="G295" s="288">
        <f t="shared" ca="1" si="31"/>
        <v>143</v>
      </c>
      <c r="H295" s="298" t="s">
        <v>203</v>
      </c>
      <c r="I295" s="299"/>
    </row>
    <row r="296" spans="1:9">
      <c r="A296" s="294">
        <v>45342</v>
      </c>
      <c r="B296" s="292"/>
      <c r="C296" s="295" t="s">
        <v>199</v>
      </c>
      <c r="D296" s="296">
        <v>45342</v>
      </c>
      <c r="E296" s="283">
        <f t="shared" ca="1" si="33"/>
        <v>45484.461160069448</v>
      </c>
      <c r="F296" s="297">
        <f t="shared" ca="1" si="32"/>
        <v>3419.0678416667506</v>
      </c>
      <c r="G296" s="288">
        <f t="shared" ca="1" si="31"/>
        <v>142</v>
      </c>
      <c r="H296" s="298" t="s">
        <v>203</v>
      </c>
      <c r="I296" s="299"/>
    </row>
    <row r="297" spans="1:9">
      <c r="A297" s="294">
        <v>45343</v>
      </c>
      <c r="B297" s="292"/>
      <c r="C297" s="295" t="s">
        <v>199</v>
      </c>
      <c r="D297" s="296">
        <v>45343</v>
      </c>
      <c r="E297" s="283">
        <f t="shared" ca="1" si="33"/>
        <v>45484.461160069448</v>
      </c>
      <c r="F297" s="297">
        <f t="shared" ca="1" si="32"/>
        <v>3395.0678416667506</v>
      </c>
      <c r="G297" s="288">
        <f t="shared" ca="1" si="31"/>
        <v>141</v>
      </c>
      <c r="H297" s="298" t="s">
        <v>203</v>
      </c>
      <c r="I297" s="299"/>
    </row>
    <row r="298" spans="1:9">
      <c r="A298" s="294">
        <v>45344</v>
      </c>
      <c r="B298" s="292"/>
      <c r="C298" s="295" t="s">
        <v>199</v>
      </c>
      <c r="D298" s="296">
        <v>45344</v>
      </c>
      <c r="E298" s="283">
        <f t="shared" ca="1" si="33"/>
        <v>45484.461160069448</v>
      </c>
      <c r="F298" s="297">
        <f t="shared" ca="1" si="32"/>
        <v>3371.0678416667506</v>
      </c>
      <c r="G298" s="288">
        <f t="shared" ca="1" si="31"/>
        <v>140</v>
      </c>
      <c r="H298" s="298" t="s">
        <v>203</v>
      </c>
      <c r="I298" s="299"/>
    </row>
    <row r="299" spans="1:9">
      <c r="A299" s="294">
        <v>45345</v>
      </c>
      <c r="B299" s="292"/>
      <c r="C299" s="295" t="s">
        <v>199</v>
      </c>
      <c r="D299" s="296">
        <v>45345</v>
      </c>
      <c r="E299" s="283">
        <f t="shared" ca="1" si="33"/>
        <v>45484.461160069448</v>
      </c>
      <c r="F299" s="297">
        <f t="shared" ca="1" si="32"/>
        <v>3347.0678416667506</v>
      </c>
      <c r="G299" s="288">
        <f t="shared" ca="1" si="31"/>
        <v>139</v>
      </c>
      <c r="H299" s="298" t="s">
        <v>203</v>
      </c>
      <c r="I299" s="299"/>
    </row>
    <row r="300" spans="1:9">
      <c r="A300" s="294">
        <v>45346</v>
      </c>
      <c r="B300" s="292"/>
      <c r="C300" s="295" t="s">
        <v>199</v>
      </c>
      <c r="D300" s="296">
        <v>45346</v>
      </c>
      <c r="E300" s="283">
        <f t="shared" ca="1" si="33"/>
        <v>45484.461160069448</v>
      </c>
      <c r="F300" s="297">
        <f t="shared" ca="1" si="32"/>
        <v>3323.0678416667506</v>
      </c>
      <c r="G300" s="288">
        <f t="shared" ca="1" si="31"/>
        <v>138</v>
      </c>
      <c r="H300" s="298" t="s">
        <v>203</v>
      </c>
      <c r="I300" s="299"/>
    </row>
    <row r="301" spans="1:9">
      <c r="A301" s="294">
        <v>45347</v>
      </c>
      <c r="B301" s="292"/>
      <c r="C301" s="295" t="s">
        <v>199</v>
      </c>
      <c r="D301" s="296">
        <v>45347</v>
      </c>
      <c r="E301" s="283">
        <f t="shared" ca="1" si="33"/>
        <v>45484.461160069448</v>
      </c>
      <c r="F301" s="297">
        <f t="shared" ca="1" si="32"/>
        <v>3299.0678416667506</v>
      </c>
      <c r="G301" s="288">
        <f t="shared" ca="1" si="31"/>
        <v>137</v>
      </c>
      <c r="H301" s="298" t="s">
        <v>203</v>
      </c>
      <c r="I301" s="299"/>
    </row>
    <row r="302" spans="1:9">
      <c r="A302" s="294">
        <v>45348</v>
      </c>
      <c r="B302" s="292"/>
      <c r="C302" s="295" t="s">
        <v>199</v>
      </c>
      <c r="D302" s="296">
        <v>45348</v>
      </c>
      <c r="E302" s="283">
        <f t="shared" ca="1" si="33"/>
        <v>45484.461160069448</v>
      </c>
      <c r="F302" s="297">
        <f t="shared" ca="1" si="32"/>
        <v>3275.0678416667506</v>
      </c>
      <c r="G302" s="288">
        <f t="shared" ca="1" si="31"/>
        <v>136</v>
      </c>
      <c r="H302" s="298" t="s">
        <v>203</v>
      </c>
      <c r="I302" s="299"/>
    </row>
    <row r="303" spans="1:9">
      <c r="A303" s="294">
        <v>45349</v>
      </c>
      <c r="B303" s="292"/>
      <c r="C303" s="295" t="s">
        <v>199</v>
      </c>
      <c r="D303" s="296">
        <v>45349</v>
      </c>
      <c r="E303" s="283">
        <f t="shared" ca="1" si="33"/>
        <v>45484.461160069448</v>
      </c>
      <c r="F303" s="297">
        <f t="shared" ca="1" si="32"/>
        <v>3251.0678416667506</v>
      </c>
      <c r="G303" s="288">
        <f t="shared" ca="1" si="31"/>
        <v>135</v>
      </c>
      <c r="H303" s="298" t="s">
        <v>203</v>
      </c>
      <c r="I303" s="299"/>
    </row>
    <row r="304" spans="1:9">
      <c r="A304" s="294">
        <v>45350</v>
      </c>
      <c r="B304" s="292"/>
      <c r="C304" s="295" t="s">
        <v>199</v>
      </c>
      <c r="D304" s="296">
        <v>45350</v>
      </c>
      <c r="E304" s="283">
        <f t="shared" ca="1" si="33"/>
        <v>45484.461160069448</v>
      </c>
      <c r="F304" s="297">
        <f t="shared" ca="1" si="32"/>
        <v>3227.0678416667506</v>
      </c>
      <c r="G304" s="288">
        <f t="shared" ca="1" si="31"/>
        <v>134</v>
      </c>
      <c r="H304" s="298" t="s">
        <v>203</v>
      </c>
      <c r="I304" s="299"/>
    </row>
    <row r="305" spans="1:9">
      <c r="A305" s="294">
        <v>45351</v>
      </c>
      <c r="B305" s="292"/>
      <c r="C305" s="295" t="s">
        <v>199</v>
      </c>
      <c r="D305" s="296">
        <v>45351</v>
      </c>
      <c r="E305" s="283">
        <f t="shared" ca="1" si="33"/>
        <v>45484.461160069448</v>
      </c>
      <c r="F305" s="297">
        <f t="shared" ca="1" si="32"/>
        <v>3203.0678416667506</v>
      </c>
      <c r="G305" s="288">
        <f t="shared" ca="1" si="31"/>
        <v>133</v>
      </c>
      <c r="H305" s="298" t="s">
        <v>203</v>
      </c>
      <c r="I305" s="299"/>
    </row>
    <row r="306" spans="1:9">
      <c r="A306" s="336" t="s">
        <v>66</v>
      </c>
      <c r="B306" s="317"/>
      <c r="C306" s="295"/>
      <c r="D306" s="296"/>
      <c r="E306" s="283"/>
      <c r="F306" s="297">
        <f ca="1">SUM(F278:F281)</f>
        <v>3774.734230555594</v>
      </c>
      <c r="G306" s="288">
        <f>DATEDIF(D306,E306,"D")</f>
        <v>0</v>
      </c>
      <c r="H306" s="298"/>
      <c r="I306" s="299"/>
    </row>
    <row r="307" spans="1:9">
      <c r="A307" s="291"/>
      <c r="B307" s="292" t="s">
        <v>49</v>
      </c>
      <c r="C307" s="291"/>
      <c r="D307" s="291"/>
      <c r="E307" s="291"/>
      <c r="F307" s="291"/>
      <c r="G307" s="291"/>
      <c r="H307" s="291"/>
      <c r="I307" s="291"/>
    </row>
    <row r="308" spans="1:9">
      <c r="A308" s="294">
        <v>45323</v>
      </c>
      <c r="B308" s="292"/>
      <c r="C308" s="295" t="s">
        <v>199</v>
      </c>
      <c r="D308" s="296">
        <v>45323.000011574077</v>
      </c>
      <c r="E308" s="296">
        <v>45323.999988425923</v>
      </c>
      <c r="F308" s="297">
        <f>(E308-D308)*24</f>
        <v>23.999444444314577</v>
      </c>
      <c r="G308" s="288">
        <f>DATEDIF(D308,E308,"D")</f>
        <v>0</v>
      </c>
      <c r="H308" s="298" t="s">
        <v>203</v>
      </c>
      <c r="I308" s="299" t="s">
        <v>245</v>
      </c>
    </row>
    <row r="309" spans="1:9">
      <c r="A309" s="294">
        <v>45324</v>
      </c>
      <c r="B309" s="292"/>
      <c r="C309" s="295" t="s">
        <v>199</v>
      </c>
      <c r="D309" s="296">
        <v>45324.000011574077</v>
      </c>
      <c r="E309" s="296">
        <v>45324.819456018522</v>
      </c>
      <c r="F309" s="297">
        <f>(E309-D309)*24</f>
        <v>19.666666666686069</v>
      </c>
      <c r="G309" s="288">
        <f t="shared" ref="G309:G336" si="34">DATEDIF(D309,E309,"D")</f>
        <v>0</v>
      </c>
      <c r="H309" s="298" t="s">
        <v>203</v>
      </c>
      <c r="I309" s="299" t="s">
        <v>245</v>
      </c>
    </row>
    <row r="310" spans="1:9">
      <c r="A310" s="294">
        <v>45325</v>
      </c>
      <c r="B310" s="292"/>
      <c r="C310" s="295" t="s">
        <v>199</v>
      </c>
      <c r="D310" s="296">
        <v>45326.000011574077</v>
      </c>
      <c r="E310" s="296">
        <v>45326.000011574077</v>
      </c>
      <c r="F310" s="297">
        <f t="shared" ref="F310:F336" si="35">(E310-D310)*24</f>
        <v>0</v>
      </c>
      <c r="G310" s="288">
        <f t="shared" si="34"/>
        <v>0</v>
      </c>
      <c r="H310" s="298" t="s">
        <v>203</v>
      </c>
      <c r="I310" s="299"/>
    </row>
    <row r="311" spans="1:9">
      <c r="A311" s="294">
        <v>45326</v>
      </c>
      <c r="B311" s="292"/>
      <c r="C311" s="295" t="s">
        <v>199</v>
      </c>
      <c r="D311" s="296">
        <v>45327.000011574077</v>
      </c>
      <c r="E311" s="296">
        <v>45327.000011574077</v>
      </c>
      <c r="F311" s="297">
        <f t="shared" si="35"/>
        <v>0</v>
      </c>
      <c r="G311" s="288">
        <f t="shared" si="34"/>
        <v>0</v>
      </c>
      <c r="H311" s="298" t="s">
        <v>203</v>
      </c>
      <c r="I311" s="299"/>
    </row>
    <row r="312" spans="1:9">
      <c r="A312" s="294">
        <v>45327</v>
      </c>
      <c r="B312" s="292"/>
      <c r="C312" s="295" t="s">
        <v>199</v>
      </c>
      <c r="D312" s="296">
        <v>45328.000011574077</v>
      </c>
      <c r="E312" s="283">
        <f t="shared" ref="E312:E336" ca="1" si="36">NOW()</f>
        <v>45484.461160069448</v>
      </c>
      <c r="F312" s="297">
        <f t="shared" ca="1" si="35"/>
        <v>3755.0675638889079</v>
      </c>
      <c r="G312" s="288">
        <f t="shared" ca="1" si="34"/>
        <v>156</v>
      </c>
      <c r="H312" s="298" t="s">
        <v>203</v>
      </c>
      <c r="I312" s="299"/>
    </row>
    <row r="313" spans="1:9">
      <c r="A313" s="294">
        <v>45328</v>
      </c>
      <c r="B313" s="292"/>
      <c r="C313" s="295" t="s">
        <v>199</v>
      </c>
      <c r="D313" s="296">
        <v>45328</v>
      </c>
      <c r="E313" s="283">
        <f t="shared" ca="1" si="36"/>
        <v>45484.461160069448</v>
      </c>
      <c r="F313" s="297">
        <f t="shared" ca="1" si="35"/>
        <v>3755.0678416667506</v>
      </c>
      <c r="G313" s="288">
        <f t="shared" ca="1" si="34"/>
        <v>156</v>
      </c>
      <c r="H313" s="298" t="s">
        <v>203</v>
      </c>
      <c r="I313" s="299"/>
    </row>
    <row r="314" spans="1:9">
      <c r="A314" s="294">
        <v>45329</v>
      </c>
      <c r="B314" s="292"/>
      <c r="C314" s="295" t="s">
        <v>199</v>
      </c>
      <c r="D314" s="296">
        <v>45329</v>
      </c>
      <c r="E314" s="283">
        <f t="shared" ca="1" si="36"/>
        <v>45484.461160069448</v>
      </c>
      <c r="F314" s="297">
        <f t="shared" ca="1" si="35"/>
        <v>3731.0678416667506</v>
      </c>
      <c r="G314" s="288">
        <f t="shared" ca="1" si="34"/>
        <v>155</v>
      </c>
      <c r="H314" s="298" t="s">
        <v>203</v>
      </c>
      <c r="I314" s="299"/>
    </row>
    <row r="315" spans="1:9">
      <c r="A315" s="294">
        <v>45330</v>
      </c>
      <c r="B315" s="292"/>
      <c r="C315" s="295" t="s">
        <v>199</v>
      </c>
      <c r="D315" s="296">
        <v>45330</v>
      </c>
      <c r="E315" s="283">
        <f t="shared" ca="1" si="36"/>
        <v>45484.461160069448</v>
      </c>
      <c r="F315" s="297">
        <f t="shared" ca="1" si="35"/>
        <v>3707.0678416667506</v>
      </c>
      <c r="G315" s="288">
        <f t="shared" ca="1" si="34"/>
        <v>154</v>
      </c>
      <c r="H315" s="298" t="s">
        <v>203</v>
      </c>
      <c r="I315" s="299"/>
    </row>
    <row r="316" spans="1:9">
      <c r="A316" s="294">
        <v>45331</v>
      </c>
      <c r="B316" s="292"/>
      <c r="C316" s="295" t="s">
        <v>199</v>
      </c>
      <c r="D316" s="296">
        <v>45331</v>
      </c>
      <c r="E316" s="283">
        <f t="shared" ca="1" si="36"/>
        <v>45484.461160069448</v>
      </c>
      <c r="F316" s="297">
        <f t="shared" ca="1" si="35"/>
        <v>3683.0678416667506</v>
      </c>
      <c r="G316" s="288">
        <f t="shared" ca="1" si="34"/>
        <v>153</v>
      </c>
      <c r="H316" s="298" t="s">
        <v>203</v>
      </c>
      <c r="I316" s="299"/>
    </row>
    <row r="317" spans="1:9">
      <c r="A317" s="294">
        <v>45332</v>
      </c>
      <c r="B317" s="292"/>
      <c r="C317" s="295" t="s">
        <v>199</v>
      </c>
      <c r="D317" s="296">
        <v>45332</v>
      </c>
      <c r="E317" s="283">
        <f t="shared" ca="1" si="36"/>
        <v>45484.461160069448</v>
      </c>
      <c r="F317" s="297">
        <f t="shared" ca="1" si="35"/>
        <v>3659.0678416667506</v>
      </c>
      <c r="G317" s="288">
        <f t="shared" ca="1" si="34"/>
        <v>152</v>
      </c>
      <c r="H317" s="298" t="s">
        <v>203</v>
      </c>
      <c r="I317" s="299"/>
    </row>
    <row r="318" spans="1:9">
      <c r="A318" s="294">
        <v>45333</v>
      </c>
      <c r="B318" s="292"/>
      <c r="C318" s="295" t="s">
        <v>199</v>
      </c>
      <c r="D318" s="296">
        <v>45333</v>
      </c>
      <c r="E318" s="283">
        <f t="shared" ca="1" si="36"/>
        <v>45484.461160069448</v>
      </c>
      <c r="F318" s="297">
        <f t="shared" ca="1" si="35"/>
        <v>3635.0678416667506</v>
      </c>
      <c r="G318" s="288">
        <f t="shared" ca="1" si="34"/>
        <v>151</v>
      </c>
      <c r="H318" s="298" t="s">
        <v>203</v>
      </c>
      <c r="I318" s="299"/>
    </row>
    <row r="319" spans="1:9">
      <c r="A319" s="294">
        <v>45334</v>
      </c>
      <c r="B319" s="292"/>
      <c r="C319" s="295" t="s">
        <v>199</v>
      </c>
      <c r="D319" s="296">
        <v>45334</v>
      </c>
      <c r="E319" s="283">
        <f t="shared" ca="1" si="36"/>
        <v>45484.461160069448</v>
      </c>
      <c r="F319" s="297">
        <f t="shared" ca="1" si="35"/>
        <v>3611.0678416667506</v>
      </c>
      <c r="G319" s="288">
        <f t="shared" ca="1" si="34"/>
        <v>150</v>
      </c>
      <c r="H319" s="298" t="s">
        <v>203</v>
      </c>
      <c r="I319" s="299"/>
    </row>
    <row r="320" spans="1:9">
      <c r="A320" s="294">
        <v>45335</v>
      </c>
      <c r="B320" s="292"/>
      <c r="C320" s="295" t="s">
        <v>199</v>
      </c>
      <c r="D320" s="296">
        <v>45335</v>
      </c>
      <c r="E320" s="283">
        <f t="shared" ca="1" si="36"/>
        <v>45484.461160069448</v>
      </c>
      <c r="F320" s="297">
        <f t="shared" ca="1" si="35"/>
        <v>3587.0678416667506</v>
      </c>
      <c r="G320" s="288">
        <f t="shared" ca="1" si="34"/>
        <v>149</v>
      </c>
      <c r="H320" s="298" t="s">
        <v>203</v>
      </c>
      <c r="I320" s="299"/>
    </row>
    <row r="321" spans="1:9">
      <c r="A321" s="294">
        <v>45336</v>
      </c>
      <c r="B321" s="292"/>
      <c r="C321" s="295" t="s">
        <v>199</v>
      </c>
      <c r="D321" s="296">
        <v>45336</v>
      </c>
      <c r="E321" s="283">
        <f t="shared" ca="1" si="36"/>
        <v>45484.461160069448</v>
      </c>
      <c r="F321" s="297">
        <f t="shared" ca="1" si="35"/>
        <v>3563.0678416667506</v>
      </c>
      <c r="G321" s="288">
        <f t="shared" ca="1" si="34"/>
        <v>148</v>
      </c>
      <c r="H321" s="298" t="s">
        <v>203</v>
      </c>
      <c r="I321" s="299"/>
    </row>
    <row r="322" spans="1:9">
      <c r="A322" s="294">
        <v>45337</v>
      </c>
      <c r="B322" s="292"/>
      <c r="C322" s="295" t="s">
        <v>199</v>
      </c>
      <c r="D322" s="296">
        <v>45337</v>
      </c>
      <c r="E322" s="283">
        <f t="shared" ca="1" si="36"/>
        <v>45484.461160069448</v>
      </c>
      <c r="F322" s="297">
        <f t="shared" ca="1" si="35"/>
        <v>3539.0678416667506</v>
      </c>
      <c r="G322" s="288">
        <f t="shared" ca="1" si="34"/>
        <v>147</v>
      </c>
      <c r="H322" s="298" t="s">
        <v>203</v>
      </c>
      <c r="I322" s="299"/>
    </row>
    <row r="323" spans="1:9">
      <c r="A323" s="294">
        <v>45338</v>
      </c>
      <c r="B323" s="292"/>
      <c r="C323" s="295" t="s">
        <v>199</v>
      </c>
      <c r="D323" s="296">
        <v>45338</v>
      </c>
      <c r="E323" s="283">
        <f t="shared" ca="1" si="36"/>
        <v>45484.461160069448</v>
      </c>
      <c r="F323" s="297">
        <f t="shared" ca="1" si="35"/>
        <v>3515.0678416667506</v>
      </c>
      <c r="G323" s="288">
        <f t="shared" ca="1" si="34"/>
        <v>146</v>
      </c>
      <c r="H323" s="298" t="s">
        <v>203</v>
      </c>
      <c r="I323" s="299"/>
    </row>
    <row r="324" spans="1:9">
      <c r="A324" s="294">
        <v>45339</v>
      </c>
      <c r="B324" s="292"/>
      <c r="C324" s="295" t="s">
        <v>199</v>
      </c>
      <c r="D324" s="296">
        <v>45339</v>
      </c>
      <c r="E324" s="283">
        <f t="shared" ca="1" si="36"/>
        <v>45484.461160069448</v>
      </c>
      <c r="F324" s="297">
        <f t="shared" ca="1" si="35"/>
        <v>3491.0678416667506</v>
      </c>
      <c r="G324" s="288">
        <f t="shared" ca="1" si="34"/>
        <v>145</v>
      </c>
      <c r="H324" s="298" t="s">
        <v>203</v>
      </c>
      <c r="I324" s="299"/>
    </row>
    <row r="325" spans="1:9">
      <c r="A325" s="294">
        <v>45340</v>
      </c>
      <c r="B325" s="292"/>
      <c r="C325" s="295" t="s">
        <v>199</v>
      </c>
      <c r="D325" s="296">
        <v>45340</v>
      </c>
      <c r="E325" s="283">
        <f t="shared" ca="1" si="36"/>
        <v>45484.461160069448</v>
      </c>
      <c r="F325" s="297">
        <f t="shared" ca="1" si="35"/>
        <v>3467.0678416667506</v>
      </c>
      <c r="G325" s="288">
        <f t="shared" ca="1" si="34"/>
        <v>144</v>
      </c>
      <c r="H325" s="298" t="s">
        <v>203</v>
      </c>
      <c r="I325" s="299"/>
    </row>
    <row r="326" spans="1:9">
      <c r="A326" s="294">
        <v>45341</v>
      </c>
      <c r="B326" s="292"/>
      <c r="C326" s="295" t="s">
        <v>199</v>
      </c>
      <c r="D326" s="296">
        <v>45341</v>
      </c>
      <c r="E326" s="283">
        <f t="shared" ca="1" si="36"/>
        <v>45484.461160069448</v>
      </c>
      <c r="F326" s="297">
        <f t="shared" ca="1" si="35"/>
        <v>3443.0678416667506</v>
      </c>
      <c r="G326" s="288">
        <f t="shared" ca="1" si="34"/>
        <v>143</v>
      </c>
      <c r="H326" s="298" t="s">
        <v>203</v>
      </c>
      <c r="I326" s="299"/>
    </row>
    <row r="327" spans="1:9">
      <c r="A327" s="294">
        <v>45342</v>
      </c>
      <c r="B327" s="292"/>
      <c r="C327" s="295" t="s">
        <v>199</v>
      </c>
      <c r="D327" s="296">
        <v>45342</v>
      </c>
      <c r="E327" s="283">
        <f t="shared" ca="1" si="36"/>
        <v>45484.461160069448</v>
      </c>
      <c r="F327" s="297">
        <f t="shared" ca="1" si="35"/>
        <v>3419.0678416667506</v>
      </c>
      <c r="G327" s="288">
        <f t="shared" ca="1" si="34"/>
        <v>142</v>
      </c>
      <c r="H327" s="298" t="s">
        <v>203</v>
      </c>
      <c r="I327" s="299"/>
    </row>
    <row r="328" spans="1:9">
      <c r="A328" s="294">
        <v>45343</v>
      </c>
      <c r="B328" s="292"/>
      <c r="C328" s="295" t="s">
        <v>199</v>
      </c>
      <c r="D328" s="296">
        <v>45343</v>
      </c>
      <c r="E328" s="283">
        <f t="shared" ca="1" si="36"/>
        <v>45484.461160069448</v>
      </c>
      <c r="F328" s="297">
        <f t="shared" ca="1" si="35"/>
        <v>3395.0678416667506</v>
      </c>
      <c r="G328" s="288">
        <f t="shared" ca="1" si="34"/>
        <v>141</v>
      </c>
      <c r="H328" s="298" t="s">
        <v>203</v>
      </c>
      <c r="I328" s="299"/>
    </row>
    <row r="329" spans="1:9">
      <c r="A329" s="294">
        <v>45344</v>
      </c>
      <c r="B329" s="292"/>
      <c r="C329" s="295" t="s">
        <v>199</v>
      </c>
      <c r="D329" s="296">
        <v>45344</v>
      </c>
      <c r="E329" s="283">
        <f t="shared" ca="1" si="36"/>
        <v>45484.461160069448</v>
      </c>
      <c r="F329" s="297">
        <f t="shared" ca="1" si="35"/>
        <v>3371.0678416667506</v>
      </c>
      <c r="G329" s="288">
        <f t="shared" ca="1" si="34"/>
        <v>140</v>
      </c>
      <c r="H329" s="298" t="s">
        <v>203</v>
      </c>
      <c r="I329" s="299"/>
    </row>
    <row r="330" spans="1:9">
      <c r="A330" s="294">
        <v>45345</v>
      </c>
      <c r="B330" s="292"/>
      <c r="C330" s="295" t="s">
        <v>199</v>
      </c>
      <c r="D330" s="296">
        <v>45345</v>
      </c>
      <c r="E330" s="283">
        <f t="shared" ca="1" si="36"/>
        <v>45484.461160069448</v>
      </c>
      <c r="F330" s="297">
        <f t="shared" ca="1" si="35"/>
        <v>3347.0678416667506</v>
      </c>
      <c r="G330" s="288">
        <f t="shared" ca="1" si="34"/>
        <v>139</v>
      </c>
      <c r="H330" s="298" t="s">
        <v>203</v>
      </c>
      <c r="I330" s="299"/>
    </row>
    <row r="331" spans="1:9">
      <c r="A331" s="294">
        <v>45346</v>
      </c>
      <c r="B331" s="292"/>
      <c r="C331" s="295" t="s">
        <v>199</v>
      </c>
      <c r="D331" s="296">
        <v>45346</v>
      </c>
      <c r="E331" s="283">
        <f t="shared" ca="1" si="36"/>
        <v>45484.461160069448</v>
      </c>
      <c r="F331" s="297">
        <f t="shared" ca="1" si="35"/>
        <v>3323.0678416667506</v>
      </c>
      <c r="G331" s="288">
        <f t="shared" ca="1" si="34"/>
        <v>138</v>
      </c>
      <c r="H331" s="298" t="s">
        <v>203</v>
      </c>
      <c r="I331" s="299"/>
    </row>
    <row r="332" spans="1:9">
      <c r="A332" s="294">
        <v>45347</v>
      </c>
      <c r="B332" s="292"/>
      <c r="C332" s="295" t="s">
        <v>199</v>
      </c>
      <c r="D332" s="296">
        <v>45347</v>
      </c>
      <c r="E332" s="283">
        <f t="shared" ca="1" si="36"/>
        <v>45484.461160069448</v>
      </c>
      <c r="F332" s="297">
        <f t="shared" ca="1" si="35"/>
        <v>3299.0678416667506</v>
      </c>
      <c r="G332" s="288">
        <f t="shared" ca="1" si="34"/>
        <v>137</v>
      </c>
      <c r="H332" s="298" t="s">
        <v>203</v>
      </c>
      <c r="I332" s="299"/>
    </row>
    <row r="333" spans="1:9">
      <c r="A333" s="294">
        <v>45348</v>
      </c>
      <c r="B333" s="292"/>
      <c r="C333" s="295" t="s">
        <v>199</v>
      </c>
      <c r="D333" s="296">
        <v>45348</v>
      </c>
      <c r="E333" s="283">
        <f t="shared" ca="1" si="36"/>
        <v>45484.461160069448</v>
      </c>
      <c r="F333" s="297">
        <f t="shared" ca="1" si="35"/>
        <v>3275.0678416667506</v>
      </c>
      <c r="G333" s="288">
        <f t="shared" ca="1" si="34"/>
        <v>136</v>
      </c>
      <c r="H333" s="298" t="s">
        <v>203</v>
      </c>
      <c r="I333" s="299"/>
    </row>
    <row r="334" spans="1:9">
      <c r="A334" s="294">
        <v>45349</v>
      </c>
      <c r="B334" s="292"/>
      <c r="C334" s="295" t="s">
        <v>199</v>
      </c>
      <c r="D334" s="296">
        <v>45349</v>
      </c>
      <c r="E334" s="283">
        <f t="shared" ca="1" si="36"/>
        <v>45484.461160069448</v>
      </c>
      <c r="F334" s="297">
        <f t="shared" ca="1" si="35"/>
        <v>3251.0678416667506</v>
      </c>
      <c r="G334" s="288">
        <f t="shared" ca="1" si="34"/>
        <v>135</v>
      </c>
      <c r="H334" s="298" t="s">
        <v>203</v>
      </c>
      <c r="I334" s="299"/>
    </row>
    <row r="335" spans="1:9">
      <c r="A335" s="294">
        <v>45350</v>
      </c>
      <c r="B335" s="292"/>
      <c r="C335" s="295" t="s">
        <v>199</v>
      </c>
      <c r="D335" s="296">
        <v>45350</v>
      </c>
      <c r="E335" s="283">
        <f t="shared" ca="1" si="36"/>
        <v>45484.461160069448</v>
      </c>
      <c r="F335" s="297">
        <f t="shared" ca="1" si="35"/>
        <v>3227.0678416667506</v>
      </c>
      <c r="G335" s="288">
        <f t="shared" ca="1" si="34"/>
        <v>134</v>
      </c>
      <c r="H335" s="298" t="s">
        <v>203</v>
      </c>
      <c r="I335" s="299"/>
    </row>
    <row r="336" spans="1:9">
      <c r="A336" s="294">
        <v>45351</v>
      </c>
      <c r="B336" s="292"/>
      <c r="C336" s="295" t="s">
        <v>199</v>
      </c>
      <c r="D336" s="296">
        <v>45351</v>
      </c>
      <c r="E336" s="283">
        <f t="shared" ca="1" si="36"/>
        <v>45484.461160069448</v>
      </c>
      <c r="F336" s="297">
        <f t="shared" ca="1" si="35"/>
        <v>3203.0678416667506</v>
      </c>
      <c r="G336" s="288">
        <f t="shared" ca="1" si="34"/>
        <v>133</v>
      </c>
      <c r="H336" s="298" t="s">
        <v>203</v>
      </c>
      <c r="I336" s="299"/>
    </row>
    <row r="337" spans="1:9">
      <c r="A337" s="336" t="s">
        <v>66</v>
      </c>
      <c r="B337" s="317"/>
      <c r="C337" s="295"/>
      <c r="D337" s="296"/>
      <c r="E337" s="283"/>
      <c r="F337" s="297">
        <f ca="1">SUM(F309:F312)</f>
        <v>3774.734230555594</v>
      </c>
      <c r="G337" s="288">
        <f>DATEDIF(D337,E337,"D")</f>
        <v>0</v>
      </c>
      <c r="H337" s="298"/>
      <c r="I337" s="299"/>
    </row>
    <row r="338" spans="1:9">
      <c r="A338" s="291"/>
      <c r="B338" s="292" t="s">
        <v>51</v>
      </c>
      <c r="C338" s="291"/>
      <c r="D338" s="291"/>
      <c r="E338" s="291"/>
      <c r="F338" s="291"/>
      <c r="G338" s="291"/>
      <c r="H338" s="291"/>
      <c r="I338" s="291"/>
    </row>
    <row r="339" spans="1:9">
      <c r="A339" s="294">
        <v>45323</v>
      </c>
      <c r="B339" s="292"/>
      <c r="C339" s="295" t="s">
        <v>199</v>
      </c>
      <c r="D339" s="296">
        <v>45323.000011574077</v>
      </c>
      <c r="E339" s="296">
        <v>45323.999988425923</v>
      </c>
      <c r="F339" s="297">
        <f>(E339-D339)*24</f>
        <v>23.999444444314577</v>
      </c>
      <c r="G339" s="288">
        <f>DATEDIF(D339,E339,"D")</f>
        <v>0</v>
      </c>
      <c r="H339" s="298" t="s">
        <v>203</v>
      </c>
      <c r="I339" s="299" t="s">
        <v>245</v>
      </c>
    </row>
    <row r="340" spans="1:9">
      <c r="A340" s="294">
        <v>45324</v>
      </c>
      <c r="B340" s="292"/>
      <c r="C340" s="295" t="s">
        <v>199</v>
      </c>
      <c r="D340" s="296">
        <v>45324.000011574077</v>
      </c>
      <c r="E340" s="296">
        <v>45324.819456018522</v>
      </c>
      <c r="F340" s="297">
        <f>(E340-D340)*24</f>
        <v>19.666666666686069</v>
      </c>
      <c r="G340" s="288">
        <f t="shared" ref="G340:G367" si="37">DATEDIF(D340,E340,"D")</f>
        <v>0</v>
      </c>
      <c r="H340" s="298" t="s">
        <v>203</v>
      </c>
      <c r="I340" s="299" t="s">
        <v>245</v>
      </c>
    </row>
    <row r="341" spans="1:9">
      <c r="A341" s="294">
        <v>45325</v>
      </c>
      <c r="B341" s="292"/>
      <c r="C341" s="295" t="s">
        <v>199</v>
      </c>
      <c r="D341" s="296">
        <v>45326.000011574077</v>
      </c>
      <c r="E341" s="296">
        <v>45326.000011574077</v>
      </c>
      <c r="F341" s="297">
        <f t="shared" ref="F341:F367" si="38">(E341-D341)*24</f>
        <v>0</v>
      </c>
      <c r="G341" s="288">
        <f t="shared" si="37"/>
        <v>0</v>
      </c>
      <c r="H341" s="298" t="s">
        <v>203</v>
      </c>
      <c r="I341" s="299"/>
    </row>
    <row r="342" spans="1:9">
      <c r="A342" s="294">
        <v>45326</v>
      </c>
      <c r="B342" s="292"/>
      <c r="C342" s="295" t="s">
        <v>199</v>
      </c>
      <c r="D342" s="296">
        <v>45327.000011574077</v>
      </c>
      <c r="E342" s="296">
        <v>45327.000011574077</v>
      </c>
      <c r="F342" s="297">
        <f t="shared" si="38"/>
        <v>0</v>
      </c>
      <c r="G342" s="288">
        <f t="shared" si="37"/>
        <v>0</v>
      </c>
      <c r="H342" s="298" t="s">
        <v>203</v>
      </c>
      <c r="I342" s="299"/>
    </row>
    <row r="343" spans="1:9">
      <c r="A343" s="294">
        <v>45327</v>
      </c>
      <c r="B343" s="292"/>
      <c r="C343" s="295" t="s">
        <v>199</v>
      </c>
      <c r="D343" s="296">
        <v>45328.000011574077</v>
      </c>
      <c r="E343" s="283">
        <f t="shared" ref="E343:E367" ca="1" si="39">NOW()</f>
        <v>45484.461160069448</v>
      </c>
      <c r="F343" s="297">
        <f t="shared" ca="1" si="38"/>
        <v>3755.0675638889079</v>
      </c>
      <c r="G343" s="288">
        <f t="shared" ca="1" si="37"/>
        <v>156</v>
      </c>
      <c r="H343" s="298" t="s">
        <v>203</v>
      </c>
      <c r="I343" s="299"/>
    </row>
    <row r="344" spans="1:9">
      <c r="A344" s="294">
        <v>45328</v>
      </c>
      <c r="B344" s="292"/>
      <c r="C344" s="295" t="s">
        <v>199</v>
      </c>
      <c r="D344" s="296">
        <v>45328</v>
      </c>
      <c r="E344" s="283">
        <f t="shared" ca="1" si="39"/>
        <v>45484.461160069448</v>
      </c>
      <c r="F344" s="297">
        <f t="shared" ca="1" si="38"/>
        <v>3755.0678416667506</v>
      </c>
      <c r="G344" s="288">
        <f t="shared" ca="1" si="37"/>
        <v>156</v>
      </c>
      <c r="H344" s="298" t="s">
        <v>203</v>
      </c>
      <c r="I344" s="299"/>
    </row>
    <row r="345" spans="1:9">
      <c r="A345" s="294">
        <v>45329</v>
      </c>
      <c r="B345" s="292"/>
      <c r="C345" s="295" t="s">
        <v>199</v>
      </c>
      <c r="D345" s="296">
        <v>45329</v>
      </c>
      <c r="E345" s="283">
        <f t="shared" ca="1" si="39"/>
        <v>45484.461160069448</v>
      </c>
      <c r="F345" s="297">
        <f t="shared" ca="1" si="38"/>
        <v>3731.0678416667506</v>
      </c>
      <c r="G345" s="288">
        <f t="shared" ca="1" si="37"/>
        <v>155</v>
      </c>
      <c r="H345" s="298" t="s">
        <v>203</v>
      </c>
      <c r="I345" s="299"/>
    </row>
    <row r="346" spans="1:9">
      <c r="A346" s="294">
        <v>45330</v>
      </c>
      <c r="B346" s="292"/>
      <c r="C346" s="295" t="s">
        <v>199</v>
      </c>
      <c r="D346" s="296">
        <v>45330</v>
      </c>
      <c r="E346" s="283">
        <f t="shared" ca="1" si="39"/>
        <v>45484.461160069448</v>
      </c>
      <c r="F346" s="297">
        <f t="shared" ca="1" si="38"/>
        <v>3707.0678416667506</v>
      </c>
      <c r="G346" s="288">
        <f t="shared" ca="1" si="37"/>
        <v>154</v>
      </c>
      <c r="H346" s="298" t="s">
        <v>203</v>
      </c>
      <c r="I346" s="299"/>
    </row>
    <row r="347" spans="1:9">
      <c r="A347" s="294">
        <v>45331</v>
      </c>
      <c r="B347" s="292"/>
      <c r="C347" s="295" t="s">
        <v>199</v>
      </c>
      <c r="D347" s="296">
        <v>45331</v>
      </c>
      <c r="E347" s="283">
        <f t="shared" ca="1" si="39"/>
        <v>45484.461160069448</v>
      </c>
      <c r="F347" s="297">
        <f t="shared" ca="1" si="38"/>
        <v>3683.0678416667506</v>
      </c>
      <c r="G347" s="288">
        <f t="shared" ca="1" si="37"/>
        <v>153</v>
      </c>
      <c r="H347" s="298" t="s">
        <v>203</v>
      </c>
      <c r="I347" s="299"/>
    </row>
    <row r="348" spans="1:9">
      <c r="A348" s="294">
        <v>45332</v>
      </c>
      <c r="B348" s="292"/>
      <c r="C348" s="295" t="s">
        <v>199</v>
      </c>
      <c r="D348" s="296">
        <v>45332</v>
      </c>
      <c r="E348" s="283">
        <f t="shared" ca="1" si="39"/>
        <v>45484.461160069448</v>
      </c>
      <c r="F348" s="297">
        <f t="shared" ca="1" si="38"/>
        <v>3659.0678416667506</v>
      </c>
      <c r="G348" s="288">
        <f t="shared" ca="1" si="37"/>
        <v>152</v>
      </c>
      <c r="H348" s="298" t="s">
        <v>203</v>
      </c>
      <c r="I348" s="299"/>
    </row>
    <row r="349" spans="1:9">
      <c r="A349" s="294">
        <v>45333</v>
      </c>
      <c r="B349" s="292"/>
      <c r="C349" s="295" t="s">
        <v>199</v>
      </c>
      <c r="D349" s="296">
        <v>45333</v>
      </c>
      <c r="E349" s="283">
        <f t="shared" ca="1" si="39"/>
        <v>45484.461160069448</v>
      </c>
      <c r="F349" s="297">
        <f t="shared" ca="1" si="38"/>
        <v>3635.0678416667506</v>
      </c>
      <c r="G349" s="288">
        <f t="shared" ca="1" si="37"/>
        <v>151</v>
      </c>
      <c r="H349" s="298" t="s">
        <v>203</v>
      </c>
      <c r="I349" s="299"/>
    </row>
    <row r="350" spans="1:9">
      <c r="A350" s="294">
        <v>45334</v>
      </c>
      <c r="B350" s="292"/>
      <c r="C350" s="295" t="s">
        <v>199</v>
      </c>
      <c r="D350" s="296">
        <v>45334</v>
      </c>
      <c r="E350" s="283">
        <f t="shared" ca="1" si="39"/>
        <v>45484.461160069448</v>
      </c>
      <c r="F350" s="297">
        <f t="shared" ca="1" si="38"/>
        <v>3611.0678416667506</v>
      </c>
      <c r="G350" s="288">
        <f t="shared" ca="1" si="37"/>
        <v>150</v>
      </c>
      <c r="H350" s="298" t="s">
        <v>203</v>
      </c>
      <c r="I350" s="299"/>
    </row>
    <row r="351" spans="1:9">
      <c r="A351" s="294">
        <v>45335</v>
      </c>
      <c r="B351" s="292"/>
      <c r="C351" s="295" t="s">
        <v>199</v>
      </c>
      <c r="D351" s="296">
        <v>45335</v>
      </c>
      <c r="E351" s="283">
        <f t="shared" ca="1" si="39"/>
        <v>45484.461160069448</v>
      </c>
      <c r="F351" s="297">
        <f t="shared" ca="1" si="38"/>
        <v>3587.0678416667506</v>
      </c>
      <c r="G351" s="288">
        <f t="shared" ca="1" si="37"/>
        <v>149</v>
      </c>
      <c r="H351" s="298" t="s">
        <v>203</v>
      </c>
      <c r="I351" s="299"/>
    </row>
    <row r="352" spans="1:9">
      <c r="A352" s="294">
        <v>45336</v>
      </c>
      <c r="B352" s="292"/>
      <c r="C352" s="295" t="s">
        <v>199</v>
      </c>
      <c r="D352" s="296">
        <v>45336</v>
      </c>
      <c r="E352" s="283">
        <f t="shared" ca="1" si="39"/>
        <v>45484.461160069448</v>
      </c>
      <c r="F352" s="297">
        <f t="shared" ca="1" si="38"/>
        <v>3563.0678416667506</v>
      </c>
      <c r="G352" s="288">
        <f t="shared" ca="1" si="37"/>
        <v>148</v>
      </c>
      <c r="H352" s="298" t="s">
        <v>203</v>
      </c>
      <c r="I352" s="299"/>
    </row>
    <row r="353" spans="1:9">
      <c r="A353" s="294">
        <v>45337</v>
      </c>
      <c r="B353" s="292"/>
      <c r="C353" s="295" t="s">
        <v>199</v>
      </c>
      <c r="D353" s="296">
        <v>45337</v>
      </c>
      <c r="E353" s="283">
        <f t="shared" ca="1" si="39"/>
        <v>45484.461160069448</v>
      </c>
      <c r="F353" s="297">
        <f t="shared" ca="1" si="38"/>
        <v>3539.0678416667506</v>
      </c>
      <c r="G353" s="288">
        <f t="shared" ca="1" si="37"/>
        <v>147</v>
      </c>
      <c r="H353" s="298" t="s">
        <v>203</v>
      </c>
      <c r="I353" s="299"/>
    </row>
    <row r="354" spans="1:9">
      <c r="A354" s="294">
        <v>45338</v>
      </c>
      <c r="B354" s="292"/>
      <c r="C354" s="295" t="s">
        <v>199</v>
      </c>
      <c r="D354" s="296">
        <v>45338</v>
      </c>
      <c r="E354" s="283">
        <f t="shared" ca="1" si="39"/>
        <v>45484.461160069448</v>
      </c>
      <c r="F354" s="297">
        <f t="shared" ca="1" si="38"/>
        <v>3515.0678416667506</v>
      </c>
      <c r="G354" s="288">
        <f t="shared" ca="1" si="37"/>
        <v>146</v>
      </c>
      <c r="H354" s="298" t="s">
        <v>203</v>
      </c>
      <c r="I354" s="299"/>
    </row>
    <row r="355" spans="1:9">
      <c r="A355" s="294">
        <v>45339</v>
      </c>
      <c r="B355" s="292"/>
      <c r="C355" s="295" t="s">
        <v>199</v>
      </c>
      <c r="D355" s="296">
        <v>45339</v>
      </c>
      <c r="E355" s="283">
        <f t="shared" ca="1" si="39"/>
        <v>45484.461160069448</v>
      </c>
      <c r="F355" s="297">
        <f t="shared" ca="1" si="38"/>
        <v>3491.0678416667506</v>
      </c>
      <c r="G355" s="288">
        <f t="shared" ca="1" si="37"/>
        <v>145</v>
      </c>
      <c r="H355" s="298" t="s">
        <v>203</v>
      </c>
      <c r="I355" s="299"/>
    </row>
    <row r="356" spans="1:9">
      <c r="A356" s="294">
        <v>45340</v>
      </c>
      <c r="B356" s="292"/>
      <c r="C356" s="295" t="s">
        <v>199</v>
      </c>
      <c r="D356" s="296">
        <v>45340</v>
      </c>
      <c r="E356" s="283">
        <f t="shared" ca="1" si="39"/>
        <v>45484.461160069448</v>
      </c>
      <c r="F356" s="297">
        <f t="shared" ca="1" si="38"/>
        <v>3467.0678416667506</v>
      </c>
      <c r="G356" s="288">
        <f t="shared" ca="1" si="37"/>
        <v>144</v>
      </c>
      <c r="H356" s="298" t="s">
        <v>203</v>
      </c>
      <c r="I356" s="299"/>
    </row>
    <row r="357" spans="1:9">
      <c r="A357" s="294">
        <v>45341</v>
      </c>
      <c r="B357" s="292"/>
      <c r="C357" s="295" t="s">
        <v>199</v>
      </c>
      <c r="D357" s="296">
        <v>45341</v>
      </c>
      <c r="E357" s="283">
        <f t="shared" ca="1" si="39"/>
        <v>45484.461160069448</v>
      </c>
      <c r="F357" s="297">
        <f t="shared" ca="1" si="38"/>
        <v>3443.0678416667506</v>
      </c>
      <c r="G357" s="288">
        <f t="shared" ca="1" si="37"/>
        <v>143</v>
      </c>
      <c r="H357" s="298" t="s">
        <v>203</v>
      </c>
      <c r="I357" s="299"/>
    </row>
    <row r="358" spans="1:9">
      <c r="A358" s="294">
        <v>45342</v>
      </c>
      <c r="B358" s="292"/>
      <c r="C358" s="295" t="s">
        <v>199</v>
      </c>
      <c r="D358" s="296">
        <v>45342</v>
      </c>
      <c r="E358" s="283">
        <f t="shared" ca="1" si="39"/>
        <v>45484.461160069448</v>
      </c>
      <c r="F358" s="297">
        <f t="shared" ca="1" si="38"/>
        <v>3419.0678416667506</v>
      </c>
      <c r="G358" s="288">
        <f t="shared" ca="1" si="37"/>
        <v>142</v>
      </c>
      <c r="H358" s="298" t="s">
        <v>203</v>
      </c>
      <c r="I358" s="299"/>
    </row>
    <row r="359" spans="1:9">
      <c r="A359" s="294">
        <v>45343</v>
      </c>
      <c r="B359" s="292"/>
      <c r="C359" s="295" t="s">
        <v>199</v>
      </c>
      <c r="D359" s="296">
        <v>45343</v>
      </c>
      <c r="E359" s="283">
        <f t="shared" ca="1" si="39"/>
        <v>45484.461160069448</v>
      </c>
      <c r="F359" s="297">
        <f t="shared" ca="1" si="38"/>
        <v>3395.0678416667506</v>
      </c>
      <c r="G359" s="288">
        <f t="shared" ca="1" si="37"/>
        <v>141</v>
      </c>
      <c r="H359" s="298" t="s">
        <v>203</v>
      </c>
      <c r="I359" s="299"/>
    </row>
    <row r="360" spans="1:9">
      <c r="A360" s="294">
        <v>45344</v>
      </c>
      <c r="B360" s="292"/>
      <c r="C360" s="295" t="s">
        <v>199</v>
      </c>
      <c r="D360" s="296">
        <v>45344</v>
      </c>
      <c r="E360" s="283">
        <f t="shared" ca="1" si="39"/>
        <v>45484.461160069448</v>
      </c>
      <c r="F360" s="297">
        <f t="shared" ca="1" si="38"/>
        <v>3371.0678416667506</v>
      </c>
      <c r="G360" s="288">
        <f t="shared" ca="1" si="37"/>
        <v>140</v>
      </c>
      <c r="H360" s="298" t="s">
        <v>203</v>
      </c>
      <c r="I360" s="299"/>
    </row>
    <row r="361" spans="1:9">
      <c r="A361" s="294">
        <v>45345</v>
      </c>
      <c r="B361" s="292"/>
      <c r="C361" s="295" t="s">
        <v>199</v>
      </c>
      <c r="D361" s="296">
        <v>45345</v>
      </c>
      <c r="E361" s="283">
        <f t="shared" ca="1" si="39"/>
        <v>45484.461160069448</v>
      </c>
      <c r="F361" s="297">
        <f t="shared" ca="1" si="38"/>
        <v>3347.0678416667506</v>
      </c>
      <c r="G361" s="288">
        <f t="shared" ca="1" si="37"/>
        <v>139</v>
      </c>
      <c r="H361" s="298" t="s">
        <v>203</v>
      </c>
      <c r="I361" s="299"/>
    </row>
    <row r="362" spans="1:9">
      <c r="A362" s="294">
        <v>45346</v>
      </c>
      <c r="B362" s="292"/>
      <c r="C362" s="295" t="s">
        <v>199</v>
      </c>
      <c r="D362" s="296">
        <v>45346</v>
      </c>
      <c r="E362" s="283">
        <f t="shared" ca="1" si="39"/>
        <v>45484.461160069448</v>
      </c>
      <c r="F362" s="297">
        <f t="shared" ca="1" si="38"/>
        <v>3323.0678416667506</v>
      </c>
      <c r="G362" s="288">
        <f t="shared" ca="1" si="37"/>
        <v>138</v>
      </c>
      <c r="H362" s="298" t="s">
        <v>203</v>
      </c>
      <c r="I362" s="299"/>
    </row>
    <row r="363" spans="1:9">
      <c r="A363" s="294">
        <v>45347</v>
      </c>
      <c r="B363" s="292"/>
      <c r="C363" s="295" t="s">
        <v>199</v>
      </c>
      <c r="D363" s="296">
        <v>45347</v>
      </c>
      <c r="E363" s="283">
        <f t="shared" ca="1" si="39"/>
        <v>45484.461160069448</v>
      </c>
      <c r="F363" s="297">
        <f t="shared" ca="1" si="38"/>
        <v>3299.0678416667506</v>
      </c>
      <c r="G363" s="288">
        <f t="shared" ca="1" si="37"/>
        <v>137</v>
      </c>
      <c r="H363" s="298" t="s">
        <v>203</v>
      </c>
      <c r="I363" s="299"/>
    </row>
    <row r="364" spans="1:9">
      <c r="A364" s="294">
        <v>45348</v>
      </c>
      <c r="B364" s="292"/>
      <c r="C364" s="295" t="s">
        <v>199</v>
      </c>
      <c r="D364" s="296">
        <v>45348</v>
      </c>
      <c r="E364" s="283">
        <f t="shared" ca="1" si="39"/>
        <v>45484.461160069448</v>
      </c>
      <c r="F364" s="297">
        <f t="shared" ca="1" si="38"/>
        <v>3275.0678416667506</v>
      </c>
      <c r="G364" s="288">
        <f t="shared" ca="1" si="37"/>
        <v>136</v>
      </c>
      <c r="H364" s="298" t="s">
        <v>203</v>
      </c>
      <c r="I364" s="299"/>
    </row>
    <row r="365" spans="1:9">
      <c r="A365" s="294">
        <v>45349</v>
      </c>
      <c r="B365" s="292"/>
      <c r="C365" s="295" t="s">
        <v>199</v>
      </c>
      <c r="D365" s="296">
        <v>45349</v>
      </c>
      <c r="E365" s="283">
        <f t="shared" ca="1" si="39"/>
        <v>45484.461160069448</v>
      </c>
      <c r="F365" s="297">
        <f t="shared" ca="1" si="38"/>
        <v>3251.0678416667506</v>
      </c>
      <c r="G365" s="288">
        <f t="shared" ca="1" si="37"/>
        <v>135</v>
      </c>
      <c r="H365" s="298" t="s">
        <v>203</v>
      </c>
      <c r="I365" s="299"/>
    </row>
    <row r="366" spans="1:9">
      <c r="A366" s="294">
        <v>45350</v>
      </c>
      <c r="B366" s="292"/>
      <c r="C366" s="295" t="s">
        <v>199</v>
      </c>
      <c r="D366" s="296">
        <v>45350</v>
      </c>
      <c r="E366" s="283">
        <f t="shared" ca="1" si="39"/>
        <v>45484.461160069448</v>
      </c>
      <c r="F366" s="297">
        <f t="shared" ca="1" si="38"/>
        <v>3227.0678416667506</v>
      </c>
      <c r="G366" s="288">
        <f t="shared" ca="1" si="37"/>
        <v>134</v>
      </c>
      <c r="H366" s="298" t="s">
        <v>203</v>
      </c>
      <c r="I366" s="299"/>
    </row>
    <row r="367" spans="1:9">
      <c r="A367" s="294">
        <v>45351</v>
      </c>
      <c r="B367" s="292"/>
      <c r="C367" s="295" t="s">
        <v>199</v>
      </c>
      <c r="D367" s="296">
        <v>45351</v>
      </c>
      <c r="E367" s="283">
        <f t="shared" ca="1" si="39"/>
        <v>45484.461160069448</v>
      </c>
      <c r="F367" s="297">
        <f t="shared" ca="1" si="38"/>
        <v>3203.0678416667506</v>
      </c>
      <c r="G367" s="288">
        <f t="shared" ca="1" si="37"/>
        <v>133</v>
      </c>
      <c r="H367" s="298" t="s">
        <v>203</v>
      </c>
      <c r="I367" s="299"/>
    </row>
    <row r="368" spans="1:9">
      <c r="A368" s="336" t="s">
        <v>66</v>
      </c>
      <c r="B368" s="317"/>
      <c r="C368" s="295"/>
      <c r="D368" s="296"/>
      <c r="E368" s="283"/>
      <c r="F368" s="297">
        <f ca="1">SUM(F340:F343)</f>
        <v>3774.734230555594</v>
      </c>
      <c r="G368" s="288">
        <f>DATEDIF(D368,E368,"D")</f>
        <v>0</v>
      </c>
      <c r="H368" s="298"/>
      <c r="I368" s="299"/>
    </row>
    <row r="369" spans="1:9">
      <c r="A369" s="291"/>
      <c r="B369" s="292" t="s">
        <v>53</v>
      </c>
      <c r="C369" s="291"/>
      <c r="D369" s="291"/>
      <c r="E369" s="291"/>
      <c r="F369" s="291"/>
      <c r="G369" s="291"/>
      <c r="H369" s="291"/>
      <c r="I369" s="291"/>
    </row>
    <row r="370" spans="1:9">
      <c r="A370" s="294">
        <v>45323</v>
      </c>
      <c r="B370" s="292"/>
      <c r="C370" s="295" t="s">
        <v>199</v>
      </c>
      <c r="D370" s="296">
        <v>45323.000011574077</v>
      </c>
      <c r="E370" s="296">
        <v>45323.999988425923</v>
      </c>
      <c r="F370" s="297">
        <f>(E370-D370)*24</f>
        <v>23.999444444314577</v>
      </c>
      <c r="G370" s="288">
        <f>DATEDIF(D370,E370,"D")</f>
        <v>0</v>
      </c>
      <c r="H370" s="298" t="s">
        <v>203</v>
      </c>
      <c r="I370" s="299" t="s">
        <v>245</v>
      </c>
    </row>
    <row r="371" spans="1:9">
      <c r="A371" s="294">
        <v>45324</v>
      </c>
      <c r="B371" s="292"/>
      <c r="C371" s="295" t="s">
        <v>199</v>
      </c>
      <c r="D371" s="296">
        <v>45324.000011574077</v>
      </c>
      <c r="E371" s="296">
        <v>45324.819456018522</v>
      </c>
      <c r="F371" s="297">
        <f>(E371-D371)*24</f>
        <v>19.666666666686069</v>
      </c>
      <c r="G371" s="288">
        <f t="shared" ref="G371:G398" si="40">DATEDIF(D371,E371,"D")</f>
        <v>0</v>
      </c>
      <c r="H371" s="298" t="s">
        <v>203</v>
      </c>
      <c r="I371" s="299" t="s">
        <v>245</v>
      </c>
    </row>
    <row r="372" spans="1:9">
      <c r="A372" s="294">
        <v>45325</v>
      </c>
      <c r="B372" s="292"/>
      <c r="C372" s="295" t="s">
        <v>199</v>
      </c>
      <c r="D372" s="296">
        <v>45326.000011574077</v>
      </c>
      <c r="E372" s="296">
        <v>45326.000011574077</v>
      </c>
      <c r="F372" s="297">
        <f t="shared" ref="F372:F398" si="41">(E372-D372)*24</f>
        <v>0</v>
      </c>
      <c r="G372" s="288">
        <f t="shared" si="40"/>
        <v>0</v>
      </c>
      <c r="H372" s="298" t="s">
        <v>203</v>
      </c>
      <c r="I372" s="299"/>
    </row>
    <row r="373" spans="1:9">
      <c r="A373" s="294">
        <v>45326</v>
      </c>
      <c r="B373" s="292"/>
      <c r="C373" s="295" t="s">
        <v>199</v>
      </c>
      <c r="D373" s="296">
        <v>45327.000011574077</v>
      </c>
      <c r="E373" s="296">
        <v>45327.000011574077</v>
      </c>
      <c r="F373" s="297">
        <f t="shared" si="41"/>
        <v>0</v>
      </c>
      <c r="G373" s="288">
        <f t="shared" si="40"/>
        <v>0</v>
      </c>
      <c r="H373" s="298" t="s">
        <v>203</v>
      </c>
      <c r="I373" s="299"/>
    </row>
    <row r="374" spans="1:9">
      <c r="A374" s="294">
        <v>45327</v>
      </c>
      <c r="B374" s="292"/>
      <c r="C374" s="295" t="s">
        <v>199</v>
      </c>
      <c r="D374" s="296">
        <v>45328.000011574077</v>
      </c>
      <c r="E374" s="283">
        <f t="shared" ref="E374:E398" ca="1" si="42">NOW()</f>
        <v>45484.461160069448</v>
      </c>
      <c r="F374" s="297">
        <f t="shared" ca="1" si="41"/>
        <v>3755.0675638889079</v>
      </c>
      <c r="G374" s="288">
        <f t="shared" ca="1" si="40"/>
        <v>156</v>
      </c>
      <c r="H374" s="298" t="s">
        <v>203</v>
      </c>
      <c r="I374" s="299"/>
    </row>
    <row r="375" spans="1:9">
      <c r="A375" s="294">
        <v>45328</v>
      </c>
      <c r="B375" s="292"/>
      <c r="C375" s="295" t="s">
        <v>199</v>
      </c>
      <c r="D375" s="296">
        <v>45328</v>
      </c>
      <c r="E375" s="283">
        <f t="shared" ca="1" si="42"/>
        <v>45484.461160069448</v>
      </c>
      <c r="F375" s="297">
        <f t="shared" ca="1" si="41"/>
        <v>3755.0678416667506</v>
      </c>
      <c r="G375" s="288">
        <f t="shared" ca="1" si="40"/>
        <v>156</v>
      </c>
      <c r="H375" s="298" t="s">
        <v>203</v>
      </c>
      <c r="I375" s="299"/>
    </row>
    <row r="376" spans="1:9">
      <c r="A376" s="294">
        <v>45329</v>
      </c>
      <c r="B376" s="292"/>
      <c r="C376" s="295" t="s">
        <v>199</v>
      </c>
      <c r="D376" s="296">
        <v>45329</v>
      </c>
      <c r="E376" s="283">
        <f t="shared" ca="1" si="42"/>
        <v>45484.461160069448</v>
      </c>
      <c r="F376" s="297">
        <f t="shared" ca="1" si="41"/>
        <v>3731.0678416667506</v>
      </c>
      <c r="G376" s="288">
        <f t="shared" ca="1" si="40"/>
        <v>155</v>
      </c>
      <c r="H376" s="298" t="s">
        <v>203</v>
      </c>
      <c r="I376" s="299"/>
    </row>
    <row r="377" spans="1:9">
      <c r="A377" s="294">
        <v>45330</v>
      </c>
      <c r="B377" s="292"/>
      <c r="C377" s="295" t="s">
        <v>199</v>
      </c>
      <c r="D377" s="296">
        <v>45330</v>
      </c>
      <c r="E377" s="283">
        <f t="shared" ca="1" si="42"/>
        <v>45484.461160069448</v>
      </c>
      <c r="F377" s="297">
        <f t="shared" ca="1" si="41"/>
        <v>3707.0678416667506</v>
      </c>
      <c r="G377" s="288">
        <f t="shared" ca="1" si="40"/>
        <v>154</v>
      </c>
      <c r="H377" s="298" t="s">
        <v>203</v>
      </c>
      <c r="I377" s="299"/>
    </row>
    <row r="378" spans="1:9">
      <c r="A378" s="294">
        <v>45331</v>
      </c>
      <c r="B378" s="292"/>
      <c r="C378" s="295" t="s">
        <v>199</v>
      </c>
      <c r="D378" s="296">
        <v>45331</v>
      </c>
      <c r="E378" s="283">
        <f t="shared" ca="1" si="42"/>
        <v>45484.461160069448</v>
      </c>
      <c r="F378" s="297">
        <f t="shared" ca="1" si="41"/>
        <v>3683.0678416667506</v>
      </c>
      <c r="G378" s="288">
        <f t="shared" ca="1" si="40"/>
        <v>153</v>
      </c>
      <c r="H378" s="298" t="s">
        <v>203</v>
      </c>
      <c r="I378" s="299"/>
    </row>
    <row r="379" spans="1:9">
      <c r="A379" s="294">
        <v>45332</v>
      </c>
      <c r="B379" s="292"/>
      <c r="C379" s="295" t="s">
        <v>199</v>
      </c>
      <c r="D379" s="296">
        <v>45332</v>
      </c>
      <c r="E379" s="283">
        <f t="shared" ca="1" si="42"/>
        <v>45484.461160069448</v>
      </c>
      <c r="F379" s="297">
        <f t="shared" ca="1" si="41"/>
        <v>3659.0678416667506</v>
      </c>
      <c r="G379" s="288">
        <f t="shared" ca="1" si="40"/>
        <v>152</v>
      </c>
      <c r="H379" s="298" t="s">
        <v>203</v>
      </c>
      <c r="I379" s="299"/>
    </row>
    <row r="380" spans="1:9">
      <c r="A380" s="294">
        <v>45333</v>
      </c>
      <c r="B380" s="292"/>
      <c r="C380" s="295" t="s">
        <v>199</v>
      </c>
      <c r="D380" s="296">
        <v>45333</v>
      </c>
      <c r="E380" s="283">
        <f t="shared" ca="1" si="42"/>
        <v>45484.461160069448</v>
      </c>
      <c r="F380" s="297">
        <f t="shared" ca="1" si="41"/>
        <v>3635.0678416667506</v>
      </c>
      <c r="G380" s="288">
        <f t="shared" ca="1" si="40"/>
        <v>151</v>
      </c>
      <c r="H380" s="298" t="s">
        <v>203</v>
      </c>
      <c r="I380" s="299"/>
    </row>
    <row r="381" spans="1:9">
      <c r="A381" s="294">
        <v>45334</v>
      </c>
      <c r="B381" s="292"/>
      <c r="C381" s="295" t="s">
        <v>199</v>
      </c>
      <c r="D381" s="296">
        <v>45334</v>
      </c>
      <c r="E381" s="283">
        <f t="shared" ca="1" si="42"/>
        <v>45484.461160069448</v>
      </c>
      <c r="F381" s="297">
        <f t="shared" ca="1" si="41"/>
        <v>3611.0678416667506</v>
      </c>
      <c r="G381" s="288">
        <f t="shared" ca="1" si="40"/>
        <v>150</v>
      </c>
      <c r="H381" s="298" t="s">
        <v>203</v>
      </c>
      <c r="I381" s="299"/>
    </row>
    <row r="382" spans="1:9">
      <c r="A382" s="294">
        <v>45335</v>
      </c>
      <c r="B382" s="292"/>
      <c r="C382" s="295" t="s">
        <v>199</v>
      </c>
      <c r="D382" s="296">
        <v>45335</v>
      </c>
      <c r="E382" s="283">
        <f t="shared" ca="1" si="42"/>
        <v>45484.461160069448</v>
      </c>
      <c r="F382" s="297">
        <f t="shared" ca="1" si="41"/>
        <v>3587.0678416667506</v>
      </c>
      <c r="G382" s="288">
        <f t="shared" ca="1" si="40"/>
        <v>149</v>
      </c>
      <c r="H382" s="298" t="s">
        <v>203</v>
      </c>
      <c r="I382" s="299"/>
    </row>
    <row r="383" spans="1:9">
      <c r="A383" s="294">
        <v>45336</v>
      </c>
      <c r="B383" s="292"/>
      <c r="C383" s="295" t="s">
        <v>199</v>
      </c>
      <c r="D383" s="296">
        <v>45336</v>
      </c>
      <c r="E383" s="283">
        <f t="shared" ca="1" si="42"/>
        <v>45484.461160069448</v>
      </c>
      <c r="F383" s="297">
        <f t="shared" ca="1" si="41"/>
        <v>3563.0678416667506</v>
      </c>
      <c r="G383" s="288">
        <f t="shared" ca="1" si="40"/>
        <v>148</v>
      </c>
      <c r="H383" s="298" t="s">
        <v>203</v>
      </c>
      <c r="I383" s="299"/>
    </row>
    <row r="384" spans="1:9">
      <c r="A384" s="294">
        <v>45337</v>
      </c>
      <c r="B384" s="292"/>
      <c r="C384" s="295" t="s">
        <v>199</v>
      </c>
      <c r="D384" s="296">
        <v>45337</v>
      </c>
      <c r="E384" s="283">
        <f t="shared" ca="1" si="42"/>
        <v>45484.461160069448</v>
      </c>
      <c r="F384" s="297">
        <f t="shared" ca="1" si="41"/>
        <v>3539.0678416667506</v>
      </c>
      <c r="G384" s="288">
        <f t="shared" ca="1" si="40"/>
        <v>147</v>
      </c>
      <c r="H384" s="298" t="s">
        <v>203</v>
      </c>
      <c r="I384" s="299"/>
    </row>
    <row r="385" spans="1:9">
      <c r="A385" s="294">
        <v>45338</v>
      </c>
      <c r="B385" s="292"/>
      <c r="C385" s="295" t="s">
        <v>199</v>
      </c>
      <c r="D385" s="296">
        <v>45338</v>
      </c>
      <c r="E385" s="283">
        <f t="shared" ca="1" si="42"/>
        <v>45484.461160069448</v>
      </c>
      <c r="F385" s="297">
        <f t="shared" ca="1" si="41"/>
        <v>3515.0678416667506</v>
      </c>
      <c r="G385" s="288">
        <f t="shared" ca="1" si="40"/>
        <v>146</v>
      </c>
      <c r="H385" s="298" t="s">
        <v>203</v>
      </c>
      <c r="I385" s="299"/>
    </row>
    <row r="386" spans="1:9">
      <c r="A386" s="294">
        <v>45339</v>
      </c>
      <c r="B386" s="292"/>
      <c r="C386" s="295" t="s">
        <v>199</v>
      </c>
      <c r="D386" s="296">
        <v>45339</v>
      </c>
      <c r="E386" s="283">
        <f t="shared" ca="1" si="42"/>
        <v>45484.461160069448</v>
      </c>
      <c r="F386" s="297">
        <f t="shared" ca="1" si="41"/>
        <v>3491.0678416667506</v>
      </c>
      <c r="G386" s="288">
        <f t="shared" ca="1" si="40"/>
        <v>145</v>
      </c>
      <c r="H386" s="298" t="s">
        <v>203</v>
      </c>
      <c r="I386" s="299"/>
    </row>
    <row r="387" spans="1:9">
      <c r="A387" s="294">
        <v>45340</v>
      </c>
      <c r="B387" s="292"/>
      <c r="C387" s="295" t="s">
        <v>199</v>
      </c>
      <c r="D387" s="296">
        <v>45340</v>
      </c>
      <c r="E387" s="283">
        <f t="shared" ca="1" si="42"/>
        <v>45484.461160069448</v>
      </c>
      <c r="F387" s="297">
        <f t="shared" ca="1" si="41"/>
        <v>3467.0678416667506</v>
      </c>
      <c r="G387" s="288">
        <f t="shared" ca="1" si="40"/>
        <v>144</v>
      </c>
      <c r="H387" s="298" t="s">
        <v>203</v>
      </c>
      <c r="I387" s="299"/>
    </row>
    <row r="388" spans="1:9">
      <c r="A388" s="294">
        <v>45341</v>
      </c>
      <c r="B388" s="292"/>
      <c r="C388" s="295" t="s">
        <v>199</v>
      </c>
      <c r="D388" s="296">
        <v>45341</v>
      </c>
      <c r="E388" s="283">
        <f t="shared" ca="1" si="42"/>
        <v>45484.461160069448</v>
      </c>
      <c r="F388" s="297">
        <f t="shared" ca="1" si="41"/>
        <v>3443.0678416667506</v>
      </c>
      <c r="G388" s="288">
        <f t="shared" ca="1" si="40"/>
        <v>143</v>
      </c>
      <c r="H388" s="298" t="s">
        <v>203</v>
      </c>
      <c r="I388" s="299"/>
    </row>
    <row r="389" spans="1:9">
      <c r="A389" s="294">
        <v>45342</v>
      </c>
      <c r="B389" s="292"/>
      <c r="C389" s="295" t="s">
        <v>199</v>
      </c>
      <c r="D389" s="296">
        <v>45342</v>
      </c>
      <c r="E389" s="283">
        <f t="shared" ca="1" si="42"/>
        <v>45484.461160069448</v>
      </c>
      <c r="F389" s="297">
        <f t="shared" ca="1" si="41"/>
        <v>3419.0678416667506</v>
      </c>
      <c r="G389" s="288">
        <f t="shared" ca="1" si="40"/>
        <v>142</v>
      </c>
      <c r="H389" s="298" t="s">
        <v>203</v>
      </c>
      <c r="I389" s="299"/>
    </row>
    <row r="390" spans="1:9">
      <c r="A390" s="294">
        <v>45343</v>
      </c>
      <c r="B390" s="292"/>
      <c r="C390" s="295" t="s">
        <v>199</v>
      </c>
      <c r="D390" s="296">
        <v>45343</v>
      </c>
      <c r="E390" s="283">
        <f t="shared" ca="1" si="42"/>
        <v>45484.461160069448</v>
      </c>
      <c r="F390" s="297">
        <f t="shared" ca="1" si="41"/>
        <v>3395.0678416667506</v>
      </c>
      <c r="G390" s="288">
        <f t="shared" ca="1" si="40"/>
        <v>141</v>
      </c>
      <c r="H390" s="298" t="s">
        <v>203</v>
      </c>
      <c r="I390" s="299"/>
    </row>
    <row r="391" spans="1:9">
      <c r="A391" s="294">
        <v>45344</v>
      </c>
      <c r="B391" s="292"/>
      <c r="C391" s="295" t="s">
        <v>199</v>
      </c>
      <c r="D391" s="296">
        <v>45344</v>
      </c>
      <c r="E391" s="283">
        <f t="shared" ca="1" si="42"/>
        <v>45484.461160069448</v>
      </c>
      <c r="F391" s="297">
        <f t="shared" ca="1" si="41"/>
        <v>3371.0678416667506</v>
      </c>
      <c r="G391" s="288">
        <f t="shared" ca="1" si="40"/>
        <v>140</v>
      </c>
      <c r="H391" s="298" t="s">
        <v>203</v>
      </c>
      <c r="I391" s="299"/>
    </row>
    <row r="392" spans="1:9">
      <c r="A392" s="294">
        <v>45345</v>
      </c>
      <c r="B392" s="292"/>
      <c r="C392" s="295" t="s">
        <v>199</v>
      </c>
      <c r="D392" s="296">
        <v>45345</v>
      </c>
      <c r="E392" s="283">
        <f t="shared" ca="1" si="42"/>
        <v>45484.461160069448</v>
      </c>
      <c r="F392" s="297">
        <f t="shared" ca="1" si="41"/>
        <v>3347.0678416667506</v>
      </c>
      <c r="G392" s="288">
        <f t="shared" ca="1" si="40"/>
        <v>139</v>
      </c>
      <c r="H392" s="298" t="s">
        <v>203</v>
      </c>
      <c r="I392" s="299"/>
    </row>
    <row r="393" spans="1:9">
      <c r="A393" s="294">
        <v>45346</v>
      </c>
      <c r="B393" s="292"/>
      <c r="C393" s="295" t="s">
        <v>199</v>
      </c>
      <c r="D393" s="296">
        <v>45346</v>
      </c>
      <c r="E393" s="283">
        <f t="shared" ca="1" si="42"/>
        <v>45484.461160069448</v>
      </c>
      <c r="F393" s="297">
        <f t="shared" ca="1" si="41"/>
        <v>3323.0678416667506</v>
      </c>
      <c r="G393" s="288">
        <f t="shared" ca="1" si="40"/>
        <v>138</v>
      </c>
      <c r="H393" s="298" t="s">
        <v>203</v>
      </c>
      <c r="I393" s="299"/>
    </row>
    <row r="394" spans="1:9">
      <c r="A394" s="294">
        <v>45347</v>
      </c>
      <c r="B394" s="292"/>
      <c r="C394" s="295" t="s">
        <v>199</v>
      </c>
      <c r="D394" s="296">
        <v>45347</v>
      </c>
      <c r="E394" s="283">
        <f t="shared" ca="1" si="42"/>
        <v>45484.461160069448</v>
      </c>
      <c r="F394" s="297">
        <f t="shared" ca="1" si="41"/>
        <v>3299.0678416667506</v>
      </c>
      <c r="G394" s="288">
        <f t="shared" ca="1" si="40"/>
        <v>137</v>
      </c>
      <c r="H394" s="298" t="s">
        <v>203</v>
      </c>
      <c r="I394" s="299"/>
    </row>
    <row r="395" spans="1:9">
      <c r="A395" s="294">
        <v>45348</v>
      </c>
      <c r="B395" s="292"/>
      <c r="C395" s="295" t="s">
        <v>199</v>
      </c>
      <c r="D395" s="296">
        <v>45348</v>
      </c>
      <c r="E395" s="283">
        <f t="shared" ca="1" si="42"/>
        <v>45484.461160069448</v>
      </c>
      <c r="F395" s="297">
        <f t="shared" ca="1" si="41"/>
        <v>3275.0678416667506</v>
      </c>
      <c r="G395" s="288">
        <f t="shared" ca="1" si="40"/>
        <v>136</v>
      </c>
      <c r="H395" s="298" t="s">
        <v>203</v>
      </c>
      <c r="I395" s="299"/>
    </row>
    <row r="396" spans="1:9">
      <c r="A396" s="294">
        <v>45349</v>
      </c>
      <c r="B396" s="292"/>
      <c r="C396" s="295" t="s">
        <v>199</v>
      </c>
      <c r="D396" s="296">
        <v>45349</v>
      </c>
      <c r="E396" s="283">
        <f t="shared" ca="1" si="42"/>
        <v>45484.461160069448</v>
      </c>
      <c r="F396" s="297">
        <f t="shared" ca="1" si="41"/>
        <v>3251.0678416667506</v>
      </c>
      <c r="G396" s="288">
        <f t="shared" ca="1" si="40"/>
        <v>135</v>
      </c>
      <c r="H396" s="298" t="s">
        <v>203</v>
      </c>
      <c r="I396" s="299"/>
    </row>
    <row r="397" spans="1:9">
      <c r="A397" s="294">
        <v>45350</v>
      </c>
      <c r="B397" s="292"/>
      <c r="C397" s="295" t="s">
        <v>199</v>
      </c>
      <c r="D397" s="296">
        <v>45350</v>
      </c>
      <c r="E397" s="283">
        <f t="shared" ca="1" si="42"/>
        <v>45484.461160069448</v>
      </c>
      <c r="F397" s="297">
        <f t="shared" ca="1" si="41"/>
        <v>3227.0678416667506</v>
      </c>
      <c r="G397" s="288">
        <f t="shared" ca="1" si="40"/>
        <v>134</v>
      </c>
      <c r="H397" s="298" t="s">
        <v>203</v>
      </c>
      <c r="I397" s="299"/>
    </row>
    <row r="398" spans="1:9">
      <c r="A398" s="294">
        <v>45351</v>
      </c>
      <c r="B398" s="292"/>
      <c r="C398" s="295" t="s">
        <v>199</v>
      </c>
      <c r="D398" s="296">
        <v>45351</v>
      </c>
      <c r="E398" s="283">
        <f t="shared" ca="1" si="42"/>
        <v>45484.461160069448</v>
      </c>
      <c r="F398" s="297">
        <f t="shared" ca="1" si="41"/>
        <v>3203.0678416667506</v>
      </c>
      <c r="G398" s="288">
        <f t="shared" ca="1" si="40"/>
        <v>133</v>
      </c>
      <c r="H398" s="298" t="s">
        <v>203</v>
      </c>
      <c r="I398" s="299"/>
    </row>
    <row r="399" spans="1:9">
      <c r="A399" s="336" t="s">
        <v>66</v>
      </c>
      <c r="B399" s="317"/>
      <c r="C399" s="295"/>
      <c r="D399" s="296"/>
      <c r="E399" s="283"/>
      <c r="F399" s="297">
        <f ca="1">SUM(F371:F374)</f>
        <v>3774.734230555594</v>
      </c>
      <c r="G399" s="288">
        <f>DATEDIF(D399,E399,"D")</f>
        <v>0</v>
      </c>
      <c r="H399" s="298"/>
      <c r="I399" s="299"/>
    </row>
    <row r="400" spans="1:9">
      <c r="A400" s="291"/>
      <c r="B400" s="292" t="s">
        <v>55</v>
      </c>
      <c r="C400" s="291"/>
      <c r="D400" s="291"/>
      <c r="E400" s="291"/>
      <c r="F400" s="291"/>
      <c r="G400" s="291"/>
      <c r="H400" s="291"/>
      <c r="I400" s="291"/>
    </row>
    <row r="401" spans="1:9">
      <c r="A401" s="294">
        <v>45323</v>
      </c>
      <c r="B401" s="292"/>
      <c r="C401" s="295" t="s">
        <v>199</v>
      </c>
      <c r="D401" s="296">
        <v>45323.000011574077</v>
      </c>
      <c r="E401" s="296">
        <v>45323.999988425923</v>
      </c>
      <c r="F401" s="297">
        <f>(E401-D401)*24</f>
        <v>23.999444444314577</v>
      </c>
      <c r="G401" s="288">
        <f>DATEDIF(D401,E401,"D")</f>
        <v>0</v>
      </c>
      <c r="H401" s="298" t="s">
        <v>203</v>
      </c>
      <c r="I401" s="299" t="s">
        <v>245</v>
      </c>
    </row>
    <row r="402" spans="1:9">
      <c r="A402" s="294">
        <v>45324</v>
      </c>
      <c r="B402" s="292"/>
      <c r="C402" s="295" t="s">
        <v>199</v>
      </c>
      <c r="D402" s="296">
        <v>45324.000011574077</v>
      </c>
      <c r="E402" s="296">
        <v>45324.819456018522</v>
      </c>
      <c r="F402" s="297">
        <f>(E402-D402)*24</f>
        <v>19.666666666686069</v>
      </c>
      <c r="G402" s="288">
        <f t="shared" ref="G402:G429" si="43">DATEDIF(D402,E402,"D")</f>
        <v>0</v>
      </c>
      <c r="H402" s="298" t="s">
        <v>203</v>
      </c>
      <c r="I402" s="299" t="s">
        <v>245</v>
      </c>
    </row>
    <row r="403" spans="1:9">
      <c r="A403" s="294">
        <v>45325</v>
      </c>
      <c r="B403" s="292"/>
      <c r="C403" s="295" t="s">
        <v>199</v>
      </c>
      <c r="D403" s="296">
        <v>45326.000011574077</v>
      </c>
      <c r="E403" s="296">
        <v>45326.000011574077</v>
      </c>
      <c r="F403" s="297">
        <f t="shared" ref="F403:F429" si="44">(E403-D403)*24</f>
        <v>0</v>
      </c>
      <c r="G403" s="288">
        <f t="shared" si="43"/>
        <v>0</v>
      </c>
      <c r="H403" s="298" t="s">
        <v>203</v>
      </c>
      <c r="I403" s="299"/>
    </row>
    <row r="404" spans="1:9">
      <c r="A404" s="294">
        <v>45326</v>
      </c>
      <c r="B404" s="292"/>
      <c r="C404" s="295" t="s">
        <v>199</v>
      </c>
      <c r="D404" s="296">
        <v>45327.000011574077</v>
      </c>
      <c r="E404" s="296">
        <v>45327.000011574077</v>
      </c>
      <c r="F404" s="297">
        <f t="shared" si="44"/>
        <v>0</v>
      </c>
      <c r="G404" s="288">
        <f t="shared" si="43"/>
        <v>0</v>
      </c>
      <c r="H404" s="298" t="s">
        <v>203</v>
      </c>
      <c r="I404" s="299"/>
    </row>
    <row r="405" spans="1:9">
      <c r="A405" s="294">
        <v>45327</v>
      </c>
      <c r="B405" s="292"/>
      <c r="C405" s="295" t="s">
        <v>199</v>
      </c>
      <c r="D405" s="296">
        <v>45328.000011574077</v>
      </c>
      <c r="E405" s="283">
        <f t="shared" ref="E405:E429" ca="1" si="45">NOW()</f>
        <v>45484.461160069448</v>
      </c>
      <c r="F405" s="297">
        <f t="shared" ca="1" si="44"/>
        <v>3755.0675638889079</v>
      </c>
      <c r="G405" s="288">
        <f t="shared" ca="1" si="43"/>
        <v>156</v>
      </c>
      <c r="H405" s="298" t="s">
        <v>203</v>
      </c>
      <c r="I405" s="299"/>
    </row>
    <row r="406" spans="1:9">
      <c r="A406" s="294">
        <v>45328</v>
      </c>
      <c r="B406" s="292"/>
      <c r="C406" s="295" t="s">
        <v>199</v>
      </c>
      <c r="D406" s="296">
        <v>45328</v>
      </c>
      <c r="E406" s="283">
        <f t="shared" ca="1" si="45"/>
        <v>45484.461160069448</v>
      </c>
      <c r="F406" s="297">
        <f t="shared" ca="1" si="44"/>
        <v>3755.0678416667506</v>
      </c>
      <c r="G406" s="288">
        <f t="shared" ca="1" si="43"/>
        <v>156</v>
      </c>
      <c r="H406" s="298" t="s">
        <v>203</v>
      </c>
      <c r="I406" s="299"/>
    </row>
    <row r="407" spans="1:9">
      <c r="A407" s="294">
        <v>45329</v>
      </c>
      <c r="B407" s="292"/>
      <c r="C407" s="295" t="s">
        <v>199</v>
      </c>
      <c r="D407" s="296">
        <v>45329</v>
      </c>
      <c r="E407" s="283">
        <f t="shared" ca="1" si="45"/>
        <v>45484.461160069448</v>
      </c>
      <c r="F407" s="297">
        <f t="shared" ca="1" si="44"/>
        <v>3731.0678416667506</v>
      </c>
      <c r="G407" s="288">
        <f t="shared" ca="1" si="43"/>
        <v>155</v>
      </c>
      <c r="H407" s="298" t="s">
        <v>203</v>
      </c>
      <c r="I407" s="299"/>
    </row>
    <row r="408" spans="1:9">
      <c r="A408" s="294">
        <v>45330</v>
      </c>
      <c r="B408" s="292"/>
      <c r="C408" s="295" t="s">
        <v>199</v>
      </c>
      <c r="D408" s="296">
        <v>45330</v>
      </c>
      <c r="E408" s="283">
        <f t="shared" ca="1" si="45"/>
        <v>45484.461160069448</v>
      </c>
      <c r="F408" s="297">
        <f t="shared" ca="1" si="44"/>
        <v>3707.0678416667506</v>
      </c>
      <c r="G408" s="288">
        <f t="shared" ca="1" si="43"/>
        <v>154</v>
      </c>
      <c r="H408" s="298" t="s">
        <v>203</v>
      </c>
      <c r="I408" s="299"/>
    </row>
    <row r="409" spans="1:9">
      <c r="A409" s="294">
        <v>45331</v>
      </c>
      <c r="B409" s="292"/>
      <c r="C409" s="295" t="s">
        <v>199</v>
      </c>
      <c r="D409" s="296">
        <v>45331</v>
      </c>
      <c r="E409" s="283">
        <f t="shared" ca="1" si="45"/>
        <v>45484.461160069448</v>
      </c>
      <c r="F409" s="297">
        <f t="shared" ca="1" si="44"/>
        <v>3683.0678416667506</v>
      </c>
      <c r="G409" s="288">
        <f t="shared" ca="1" si="43"/>
        <v>153</v>
      </c>
      <c r="H409" s="298" t="s">
        <v>203</v>
      </c>
      <c r="I409" s="299"/>
    </row>
    <row r="410" spans="1:9">
      <c r="A410" s="294">
        <v>45332</v>
      </c>
      <c r="B410" s="292"/>
      <c r="C410" s="295" t="s">
        <v>199</v>
      </c>
      <c r="D410" s="296">
        <v>45332</v>
      </c>
      <c r="E410" s="283">
        <f t="shared" ca="1" si="45"/>
        <v>45484.461160069448</v>
      </c>
      <c r="F410" s="297">
        <f t="shared" ca="1" si="44"/>
        <v>3659.0678416667506</v>
      </c>
      <c r="G410" s="288">
        <f t="shared" ca="1" si="43"/>
        <v>152</v>
      </c>
      <c r="H410" s="298" t="s">
        <v>203</v>
      </c>
      <c r="I410" s="299"/>
    </row>
    <row r="411" spans="1:9">
      <c r="A411" s="294">
        <v>45333</v>
      </c>
      <c r="B411" s="292"/>
      <c r="C411" s="295" t="s">
        <v>199</v>
      </c>
      <c r="D411" s="296">
        <v>45333</v>
      </c>
      <c r="E411" s="283">
        <f t="shared" ca="1" si="45"/>
        <v>45484.461160069448</v>
      </c>
      <c r="F411" s="297">
        <f t="shared" ca="1" si="44"/>
        <v>3635.0678416667506</v>
      </c>
      <c r="G411" s="288">
        <f t="shared" ca="1" si="43"/>
        <v>151</v>
      </c>
      <c r="H411" s="298" t="s">
        <v>203</v>
      </c>
      <c r="I411" s="299"/>
    </row>
    <row r="412" spans="1:9">
      <c r="A412" s="294">
        <v>45334</v>
      </c>
      <c r="B412" s="292"/>
      <c r="C412" s="295" t="s">
        <v>199</v>
      </c>
      <c r="D412" s="296">
        <v>45334</v>
      </c>
      <c r="E412" s="283">
        <f t="shared" ca="1" si="45"/>
        <v>45484.461160069448</v>
      </c>
      <c r="F412" s="297">
        <f t="shared" ca="1" si="44"/>
        <v>3611.0678416667506</v>
      </c>
      <c r="G412" s="288">
        <f t="shared" ca="1" si="43"/>
        <v>150</v>
      </c>
      <c r="H412" s="298" t="s">
        <v>203</v>
      </c>
      <c r="I412" s="299"/>
    </row>
    <row r="413" spans="1:9">
      <c r="A413" s="294">
        <v>45335</v>
      </c>
      <c r="B413" s="292"/>
      <c r="C413" s="295" t="s">
        <v>199</v>
      </c>
      <c r="D413" s="296">
        <v>45335</v>
      </c>
      <c r="E413" s="283">
        <f t="shared" ca="1" si="45"/>
        <v>45484.461160069448</v>
      </c>
      <c r="F413" s="297">
        <f t="shared" ca="1" si="44"/>
        <v>3587.0678416667506</v>
      </c>
      <c r="G413" s="288">
        <f t="shared" ca="1" si="43"/>
        <v>149</v>
      </c>
      <c r="H413" s="298" t="s">
        <v>203</v>
      </c>
      <c r="I413" s="299"/>
    </row>
    <row r="414" spans="1:9">
      <c r="A414" s="294">
        <v>45336</v>
      </c>
      <c r="B414" s="292"/>
      <c r="C414" s="295" t="s">
        <v>199</v>
      </c>
      <c r="D414" s="296">
        <v>45336</v>
      </c>
      <c r="E414" s="283">
        <f t="shared" ca="1" si="45"/>
        <v>45484.461160069448</v>
      </c>
      <c r="F414" s="297">
        <f t="shared" ca="1" si="44"/>
        <v>3563.0678416667506</v>
      </c>
      <c r="G414" s="288">
        <f t="shared" ca="1" si="43"/>
        <v>148</v>
      </c>
      <c r="H414" s="298" t="s">
        <v>203</v>
      </c>
      <c r="I414" s="299"/>
    </row>
    <row r="415" spans="1:9">
      <c r="A415" s="294">
        <v>45337</v>
      </c>
      <c r="B415" s="292"/>
      <c r="C415" s="295" t="s">
        <v>199</v>
      </c>
      <c r="D415" s="296">
        <v>45337</v>
      </c>
      <c r="E415" s="283">
        <f t="shared" ca="1" si="45"/>
        <v>45484.461160069448</v>
      </c>
      <c r="F415" s="297">
        <f t="shared" ca="1" si="44"/>
        <v>3539.0678416667506</v>
      </c>
      <c r="G415" s="288">
        <f t="shared" ca="1" si="43"/>
        <v>147</v>
      </c>
      <c r="H415" s="298" t="s">
        <v>203</v>
      </c>
      <c r="I415" s="299"/>
    </row>
    <row r="416" spans="1:9">
      <c r="A416" s="294">
        <v>45338</v>
      </c>
      <c r="B416" s="292"/>
      <c r="C416" s="295" t="s">
        <v>199</v>
      </c>
      <c r="D416" s="296">
        <v>45338</v>
      </c>
      <c r="E416" s="283">
        <f t="shared" ca="1" si="45"/>
        <v>45484.461160069448</v>
      </c>
      <c r="F416" s="297">
        <f t="shared" ca="1" si="44"/>
        <v>3515.0678416667506</v>
      </c>
      <c r="G416" s="288">
        <f t="shared" ca="1" si="43"/>
        <v>146</v>
      </c>
      <c r="H416" s="298" t="s">
        <v>203</v>
      </c>
      <c r="I416" s="299"/>
    </row>
    <row r="417" spans="1:9">
      <c r="A417" s="294">
        <v>45339</v>
      </c>
      <c r="B417" s="292"/>
      <c r="C417" s="295" t="s">
        <v>199</v>
      </c>
      <c r="D417" s="296">
        <v>45339</v>
      </c>
      <c r="E417" s="283">
        <f t="shared" ca="1" si="45"/>
        <v>45484.461160069448</v>
      </c>
      <c r="F417" s="297">
        <f t="shared" ca="1" si="44"/>
        <v>3491.0678416667506</v>
      </c>
      <c r="G417" s="288">
        <f t="shared" ca="1" si="43"/>
        <v>145</v>
      </c>
      <c r="H417" s="298" t="s">
        <v>203</v>
      </c>
      <c r="I417" s="299"/>
    </row>
    <row r="418" spans="1:9">
      <c r="A418" s="294">
        <v>45340</v>
      </c>
      <c r="B418" s="292"/>
      <c r="C418" s="295" t="s">
        <v>199</v>
      </c>
      <c r="D418" s="296">
        <v>45340</v>
      </c>
      <c r="E418" s="283">
        <f t="shared" ca="1" si="45"/>
        <v>45484.461160069448</v>
      </c>
      <c r="F418" s="297">
        <f t="shared" ca="1" si="44"/>
        <v>3467.0678416667506</v>
      </c>
      <c r="G418" s="288">
        <f t="shared" ca="1" si="43"/>
        <v>144</v>
      </c>
      <c r="H418" s="298" t="s">
        <v>203</v>
      </c>
      <c r="I418" s="299"/>
    </row>
    <row r="419" spans="1:9">
      <c r="A419" s="294">
        <v>45341</v>
      </c>
      <c r="B419" s="292"/>
      <c r="C419" s="295" t="s">
        <v>199</v>
      </c>
      <c r="D419" s="296">
        <v>45341</v>
      </c>
      <c r="E419" s="283">
        <f t="shared" ca="1" si="45"/>
        <v>45484.461160069448</v>
      </c>
      <c r="F419" s="297">
        <f t="shared" ca="1" si="44"/>
        <v>3443.0678416667506</v>
      </c>
      <c r="G419" s="288">
        <f t="shared" ca="1" si="43"/>
        <v>143</v>
      </c>
      <c r="H419" s="298" t="s">
        <v>203</v>
      </c>
      <c r="I419" s="299"/>
    </row>
    <row r="420" spans="1:9">
      <c r="A420" s="294">
        <v>45342</v>
      </c>
      <c r="B420" s="292"/>
      <c r="C420" s="295" t="s">
        <v>199</v>
      </c>
      <c r="D420" s="296">
        <v>45342</v>
      </c>
      <c r="E420" s="283">
        <f t="shared" ca="1" si="45"/>
        <v>45484.461160069448</v>
      </c>
      <c r="F420" s="297">
        <f t="shared" ca="1" si="44"/>
        <v>3419.0678416667506</v>
      </c>
      <c r="G420" s="288">
        <f t="shared" ca="1" si="43"/>
        <v>142</v>
      </c>
      <c r="H420" s="298" t="s">
        <v>203</v>
      </c>
      <c r="I420" s="299"/>
    </row>
    <row r="421" spans="1:9">
      <c r="A421" s="294">
        <v>45343</v>
      </c>
      <c r="B421" s="292"/>
      <c r="C421" s="295" t="s">
        <v>199</v>
      </c>
      <c r="D421" s="296">
        <v>45343</v>
      </c>
      <c r="E421" s="283">
        <f t="shared" ca="1" si="45"/>
        <v>45484.461160069448</v>
      </c>
      <c r="F421" s="297">
        <f t="shared" ca="1" si="44"/>
        <v>3395.0678416667506</v>
      </c>
      <c r="G421" s="288">
        <f t="shared" ca="1" si="43"/>
        <v>141</v>
      </c>
      <c r="H421" s="298" t="s">
        <v>203</v>
      </c>
      <c r="I421" s="299"/>
    </row>
    <row r="422" spans="1:9">
      <c r="A422" s="294">
        <v>45344</v>
      </c>
      <c r="B422" s="292"/>
      <c r="C422" s="295" t="s">
        <v>199</v>
      </c>
      <c r="D422" s="296">
        <v>45344</v>
      </c>
      <c r="E422" s="283">
        <f t="shared" ca="1" si="45"/>
        <v>45484.461160069448</v>
      </c>
      <c r="F422" s="297">
        <f t="shared" ca="1" si="44"/>
        <v>3371.0678416667506</v>
      </c>
      <c r="G422" s="288">
        <f t="shared" ca="1" si="43"/>
        <v>140</v>
      </c>
      <c r="H422" s="298" t="s">
        <v>203</v>
      </c>
      <c r="I422" s="299"/>
    </row>
    <row r="423" spans="1:9">
      <c r="A423" s="294">
        <v>45345</v>
      </c>
      <c r="B423" s="292"/>
      <c r="C423" s="295" t="s">
        <v>199</v>
      </c>
      <c r="D423" s="296">
        <v>45345</v>
      </c>
      <c r="E423" s="283">
        <f t="shared" ca="1" si="45"/>
        <v>45484.461160069448</v>
      </c>
      <c r="F423" s="297">
        <f t="shared" ca="1" si="44"/>
        <v>3347.0678416667506</v>
      </c>
      <c r="G423" s="288">
        <f t="shared" ca="1" si="43"/>
        <v>139</v>
      </c>
      <c r="H423" s="298" t="s">
        <v>203</v>
      </c>
      <c r="I423" s="299"/>
    </row>
    <row r="424" spans="1:9">
      <c r="A424" s="294">
        <v>45346</v>
      </c>
      <c r="B424" s="292"/>
      <c r="C424" s="295" t="s">
        <v>199</v>
      </c>
      <c r="D424" s="296">
        <v>45346</v>
      </c>
      <c r="E424" s="283">
        <f t="shared" ca="1" si="45"/>
        <v>45484.461160069448</v>
      </c>
      <c r="F424" s="297">
        <f t="shared" ca="1" si="44"/>
        <v>3323.0678416667506</v>
      </c>
      <c r="G424" s="288">
        <f t="shared" ca="1" si="43"/>
        <v>138</v>
      </c>
      <c r="H424" s="298" t="s">
        <v>203</v>
      </c>
      <c r="I424" s="299"/>
    </row>
    <row r="425" spans="1:9">
      <c r="A425" s="294">
        <v>45347</v>
      </c>
      <c r="B425" s="292"/>
      <c r="C425" s="295" t="s">
        <v>199</v>
      </c>
      <c r="D425" s="296">
        <v>45347</v>
      </c>
      <c r="E425" s="283">
        <f t="shared" ca="1" si="45"/>
        <v>45484.461160069448</v>
      </c>
      <c r="F425" s="297">
        <f t="shared" ca="1" si="44"/>
        <v>3299.0678416667506</v>
      </c>
      <c r="G425" s="288">
        <f t="shared" ca="1" si="43"/>
        <v>137</v>
      </c>
      <c r="H425" s="298" t="s">
        <v>203</v>
      </c>
      <c r="I425" s="299"/>
    </row>
    <row r="426" spans="1:9">
      <c r="A426" s="294">
        <v>45348</v>
      </c>
      <c r="B426" s="292"/>
      <c r="C426" s="295" t="s">
        <v>199</v>
      </c>
      <c r="D426" s="296">
        <v>45348</v>
      </c>
      <c r="E426" s="283">
        <f t="shared" ca="1" si="45"/>
        <v>45484.461160069448</v>
      </c>
      <c r="F426" s="297">
        <f t="shared" ca="1" si="44"/>
        <v>3275.0678416667506</v>
      </c>
      <c r="G426" s="288">
        <f t="shared" ca="1" si="43"/>
        <v>136</v>
      </c>
      <c r="H426" s="298" t="s">
        <v>203</v>
      </c>
      <c r="I426" s="299"/>
    </row>
    <row r="427" spans="1:9">
      <c r="A427" s="294">
        <v>45349</v>
      </c>
      <c r="B427" s="292"/>
      <c r="C427" s="295" t="s">
        <v>199</v>
      </c>
      <c r="D427" s="296">
        <v>45349</v>
      </c>
      <c r="E427" s="283">
        <f t="shared" ca="1" si="45"/>
        <v>45484.461160069448</v>
      </c>
      <c r="F427" s="297">
        <f t="shared" ca="1" si="44"/>
        <v>3251.0678416667506</v>
      </c>
      <c r="G427" s="288">
        <f t="shared" ca="1" si="43"/>
        <v>135</v>
      </c>
      <c r="H427" s="298" t="s">
        <v>203</v>
      </c>
      <c r="I427" s="299"/>
    </row>
    <row r="428" spans="1:9">
      <c r="A428" s="294">
        <v>45350</v>
      </c>
      <c r="B428" s="292"/>
      <c r="C428" s="295" t="s">
        <v>199</v>
      </c>
      <c r="D428" s="296">
        <v>45350</v>
      </c>
      <c r="E428" s="283">
        <f t="shared" ca="1" si="45"/>
        <v>45484.461160069448</v>
      </c>
      <c r="F428" s="297">
        <f t="shared" ca="1" si="44"/>
        <v>3227.0678416667506</v>
      </c>
      <c r="G428" s="288">
        <f t="shared" ca="1" si="43"/>
        <v>134</v>
      </c>
      <c r="H428" s="298" t="s">
        <v>203</v>
      </c>
      <c r="I428" s="299"/>
    </row>
    <row r="429" spans="1:9">
      <c r="A429" s="294">
        <v>45351</v>
      </c>
      <c r="B429" s="292"/>
      <c r="C429" s="295" t="s">
        <v>199</v>
      </c>
      <c r="D429" s="296">
        <v>45351</v>
      </c>
      <c r="E429" s="283">
        <f t="shared" ca="1" si="45"/>
        <v>45484.461160069448</v>
      </c>
      <c r="F429" s="297">
        <f t="shared" ca="1" si="44"/>
        <v>3203.0678416667506</v>
      </c>
      <c r="G429" s="288">
        <f t="shared" ca="1" si="43"/>
        <v>133</v>
      </c>
      <c r="H429" s="298" t="s">
        <v>203</v>
      </c>
      <c r="I429" s="299"/>
    </row>
    <row r="430" spans="1:9">
      <c r="A430" s="336" t="s">
        <v>66</v>
      </c>
      <c r="B430" s="317"/>
      <c r="C430" s="295"/>
      <c r="D430" s="296"/>
      <c r="E430" s="283"/>
      <c r="F430" s="297">
        <f ca="1">SUM(F402:F405)</f>
        <v>3774.734230555594</v>
      </c>
      <c r="G430" s="288">
        <f>DATEDIF(D430,E430,"D")</f>
        <v>0</v>
      </c>
      <c r="H430" s="298"/>
      <c r="I430" s="299"/>
    </row>
    <row r="431" spans="1:9">
      <c r="A431" s="291"/>
      <c r="B431" s="292" t="s">
        <v>58</v>
      </c>
      <c r="C431" s="291"/>
      <c r="D431" s="291"/>
      <c r="E431" s="291"/>
      <c r="F431" s="291"/>
      <c r="G431" s="291"/>
      <c r="H431" s="291"/>
      <c r="I431" s="291"/>
    </row>
    <row r="432" spans="1:9">
      <c r="A432" s="294">
        <v>45323</v>
      </c>
      <c r="B432" s="292"/>
      <c r="C432" s="295" t="s">
        <v>199</v>
      </c>
      <c r="D432" s="296">
        <v>45323.000011574077</v>
      </c>
      <c r="E432" s="296">
        <v>45323.999988425923</v>
      </c>
      <c r="F432" s="297">
        <f>(E432-D432)*24</f>
        <v>23.999444444314577</v>
      </c>
      <c r="G432" s="288">
        <f>DATEDIF(D432,E432,"D")</f>
        <v>0</v>
      </c>
      <c r="H432" s="298" t="s">
        <v>203</v>
      </c>
      <c r="I432" s="299" t="s">
        <v>245</v>
      </c>
    </row>
    <row r="433" spans="1:9">
      <c r="A433" s="294">
        <v>45324</v>
      </c>
      <c r="B433" s="292"/>
      <c r="C433" s="295" t="s">
        <v>199</v>
      </c>
      <c r="D433" s="296">
        <v>45324.000011574077</v>
      </c>
      <c r="E433" s="296">
        <v>45324.819456018522</v>
      </c>
      <c r="F433" s="297">
        <f>(E433-D433)*24</f>
        <v>19.666666666686069</v>
      </c>
      <c r="G433" s="288">
        <f t="shared" ref="G433:G460" si="46">DATEDIF(D433,E433,"D")</f>
        <v>0</v>
      </c>
      <c r="H433" s="298" t="s">
        <v>203</v>
      </c>
      <c r="I433" s="299" t="s">
        <v>245</v>
      </c>
    </row>
    <row r="434" spans="1:9">
      <c r="A434" s="294">
        <v>45325</v>
      </c>
      <c r="B434" s="292"/>
      <c r="C434" s="295" t="s">
        <v>199</v>
      </c>
      <c r="D434" s="296">
        <v>45326.000011574077</v>
      </c>
      <c r="E434" s="296">
        <v>45326.000011574077</v>
      </c>
      <c r="F434" s="297">
        <f t="shared" ref="F434:F460" si="47">(E434-D434)*24</f>
        <v>0</v>
      </c>
      <c r="G434" s="288">
        <f t="shared" si="46"/>
        <v>0</v>
      </c>
      <c r="H434" s="298" t="s">
        <v>203</v>
      </c>
      <c r="I434" s="299"/>
    </row>
    <row r="435" spans="1:9">
      <c r="A435" s="294">
        <v>45326</v>
      </c>
      <c r="B435" s="292"/>
      <c r="C435" s="295" t="s">
        <v>199</v>
      </c>
      <c r="D435" s="296">
        <v>45327.000011574077</v>
      </c>
      <c r="E435" s="296">
        <v>45327.000011574077</v>
      </c>
      <c r="F435" s="297">
        <f t="shared" si="47"/>
        <v>0</v>
      </c>
      <c r="G435" s="288">
        <f t="shared" si="46"/>
        <v>0</v>
      </c>
      <c r="H435" s="298" t="s">
        <v>203</v>
      </c>
      <c r="I435" s="299"/>
    </row>
    <row r="436" spans="1:9">
      <c r="A436" s="294">
        <v>45327</v>
      </c>
      <c r="B436" s="292"/>
      <c r="C436" s="295" t="s">
        <v>199</v>
      </c>
      <c r="D436" s="296">
        <v>45328.000011574077</v>
      </c>
      <c r="E436" s="283">
        <f t="shared" ref="E436:E460" ca="1" si="48">NOW()</f>
        <v>45484.461160069448</v>
      </c>
      <c r="F436" s="297">
        <f t="shared" ca="1" si="47"/>
        <v>3755.0675638889079</v>
      </c>
      <c r="G436" s="288">
        <f t="shared" ca="1" si="46"/>
        <v>156</v>
      </c>
      <c r="H436" s="298" t="s">
        <v>203</v>
      </c>
      <c r="I436" s="299"/>
    </row>
    <row r="437" spans="1:9">
      <c r="A437" s="294">
        <v>45328</v>
      </c>
      <c r="B437" s="292"/>
      <c r="C437" s="295" t="s">
        <v>199</v>
      </c>
      <c r="D437" s="296">
        <v>45328</v>
      </c>
      <c r="E437" s="283">
        <f t="shared" ca="1" si="48"/>
        <v>45484.461160069448</v>
      </c>
      <c r="F437" s="297">
        <f t="shared" ca="1" si="47"/>
        <v>3755.0678416667506</v>
      </c>
      <c r="G437" s="288">
        <f t="shared" ca="1" si="46"/>
        <v>156</v>
      </c>
      <c r="H437" s="298" t="s">
        <v>203</v>
      </c>
      <c r="I437" s="299"/>
    </row>
    <row r="438" spans="1:9">
      <c r="A438" s="294">
        <v>45329</v>
      </c>
      <c r="B438" s="292"/>
      <c r="C438" s="295" t="s">
        <v>199</v>
      </c>
      <c r="D438" s="296">
        <v>45329</v>
      </c>
      <c r="E438" s="283">
        <f t="shared" ca="1" si="48"/>
        <v>45484.461160069448</v>
      </c>
      <c r="F438" s="297">
        <f t="shared" ca="1" si="47"/>
        <v>3731.0678416667506</v>
      </c>
      <c r="G438" s="288">
        <f t="shared" ca="1" si="46"/>
        <v>155</v>
      </c>
      <c r="H438" s="298" t="s">
        <v>203</v>
      </c>
      <c r="I438" s="299"/>
    </row>
    <row r="439" spans="1:9">
      <c r="A439" s="294">
        <v>45330</v>
      </c>
      <c r="B439" s="292"/>
      <c r="C439" s="295" t="s">
        <v>199</v>
      </c>
      <c r="D439" s="296">
        <v>45330</v>
      </c>
      <c r="E439" s="283">
        <f t="shared" ca="1" si="48"/>
        <v>45484.461160069448</v>
      </c>
      <c r="F439" s="297">
        <f t="shared" ca="1" si="47"/>
        <v>3707.0678416667506</v>
      </c>
      <c r="G439" s="288">
        <f t="shared" ca="1" si="46"/>
        <v>154</v>
      </c>
      <c r="H439" s="298" t="s">
        <v>203</v>
      </c>
      <c r="I439" s="299"/>
    </row>
    <row r="440" spans="1:9">
      <c r="A440" s="294">
        <v>45331</v>
      </c>
      <c r="B440" s="292"/>
      <c r="C440" s="295" t="s">
        <v>199</v>
      </c>
      <c r="D440" s="296">
        <v>45331</v>
      </c>
      <c r="E440" s="283">
        <f t="shared" ca="1" si="48"/>
        <v>45484.461160069448</v>
      </c>
      <c r="F440" s="297">
        <f t="shared" ca="1" si="47"/>
        <v>3683.0678416667506</v>
      </c>
      <c r="G440" s="288">
        <f t="shared" ca="1" si="46"/>
        <v>153</v>
      </c>
      <c r="H440" s="298" t="s">
        <v>203</v>
      </c>
      <c r="I440" s="299"/>
    </row>
    <row r="441" spans="1:9">
      <c r="A441" s="294">
        <v>45332</v>
      </c>
      <c r="B441" s="292"/>
      <c r="C441" s="295" t="s">
        <v>199</v>
      </c>
      <c r="D441" s="296">
        <v>45332</v>
      </c>
      <c r="E441" s="283">
        <f t="shared" ca="1" si="48"/>
        <v>45484.461160069448</v>
      </c>
      <c r="F441" s="297">
        <f t="shared" ca="1" si="47"/>
        <v>3659.0678416667506</v>
      </c>
      <c r="G441" s="288">
        <f t="shared" ca="1" si="46"/>
        <v>152</v>
      </c>
      <c r="H441" s="298" t="s">
        <v>203</v>
      </c>
      <c r="I441" s="299"/>
    </row>
    <row r="442" spans="1:9">
      <c r="A442" s="294">
        <v>45333</v>
      </c>
      <c r="B442" s="292"/>
      <c r="C442" s="295" t="s">
        <v>199</v>
      </c>
      <c r="D442" s="296">
        <v>45333</v>
      </c>
      <c r="E442" s="283">
        <f t="shared" ca="1" si="48"/>
        <v>45484.461160069448</v>
      </c>
      <c r="F442" s="297">
        <f t="shared" ca="1" si="47"/>
        <v>3635.0678416667506</v>
      </c>
      <c r="G442" s="288">
        <f t="shared" ca="1" si="46"/>
        <v>151</v>
      </c>
      <c r="H442" s="298" t="s">
        <v>203</v>
      </c>
      <c r="I442" s="299"/>
    </row>
    <row r="443" spans="1:9">
      <c r="A443" s="294">
        <v>45334</v>
      </c>
      <c r="B443" s="292"/>
      <c r="C443" s="295" t="s">
        <v>199</v>
      </c>
      <c r="D443" s="296">
        <v>45334</v>
      </c>
      <c r="E443" s="283">
        <f t="shared" ca="1" si="48"/>
        <v>45484.461160069448</v>
      </c>
      <c r="F443" s="297">
        <f t="shared" ca="1" si="47"/>
        <v>3611.0678416667506</v>
      </c>
      <c r="G443" s="288">
        <f t="shared" ca="1" si="46"/>
        <v>150</v>
      </c>
      <c r="H443" s="298" t="s">
        <v>203</v>
      </c>
      <c r="I443" s="299"/>
    </row>
    <row r="444" spans="1:9">
      <c r="A444" s="294">
        <v>45335</v>
      </c>
      <c r="B444" s="292"/>
      <c r="C444" s="295" t="s">
        <v>199</v>
      </c>
      <c r="D444" s="296">
        <v>45335</v>
      </c>
      <c r="E444" s="283">
        <f t="shared" ca="1" si="48"/>
        <v>45484.461160069448</v>
      </c>
      <c r="F444" s="297">
        <f t="shared" ca="1" si="47"/>
        <v>3587.0678416667506</v>
      </c>
      <c r="G444" s="288">
        <f t="shared" ca="1" si="46"/>
        <v>149</v>
      </c>
      <c r="H444" s="298" t="s">
        <v>203</v>
      </c>
      <c r="I444" s="299"/>
    </row>
    <row r="445" spans="1:9">
      <c r="A445" s="294">
        <v>45336</v>
      </c>
      <c r="B445" s="292"/>
      <c r="C445" s="295" t="s">
        <v>199</v>
      </c>
      <c r="D445" s="296">
        <v>45336</v>
      </c>
      <c r="E445" s="283">
        <f t="shared" ca="1" si="48"/>
        <v>45484.461160069448</v>
      </c>
      <c r="F445" s="297">
        <f t="shared" ca="1" si="47"/>
        <v>3563.0678416667506</v>
      </c>
      <c r="G445" s="288">
        <f t="shared" ca="1" si="46"/>
        <v>148</v>
      </c>
      <c r="H445" s="298" t="s">
        <v>203</v>
      </c>
      <c r="I445" s="299"/>
    </row>
    <row r="446" spans="1:9">
      <c r="A446" s="294">
        <v>45337</v>
      </c>
      <c r="B446" s="292"/>
      <c r="C446" s="295" t="s">
        <v>199</v>
      </c>
      <c r="D446" s="296">
        <v>45337</v>
      </c>
      <c r="E446" s="283">
        <f t="shared" ca="1" si="48"/>
        <v>45484.461160069448</v>
      </c>
      <c r="F446" s="297">
        <f t="shared" ca="1" si="47"/>
        <v>3539.0678416667506</v>
      </c>
      <c r="G446" s="288">
        <f t="shared" ca="1" si="46"/>
        <v>147</v>
      </c>
      <c r="H446" s="298" t="s">
        <v>203</v>
      </c>
      <c r="I446" s="299"/>
    </row>
    <row r="447" spans="1:9">
      <c r="A447" s="294">
        <v>45338</v>
      </c>
      <c r="B447" s="292"/>
      <c r="C447" s="295" t="s">
        <v>199</v>
      </c>
      <c r="D447" s="296">
        <v>45338</v>
      </c>
      <c r="E447" s="283">
        <f t="shared" ca="1" si="48"/>
        <v>45484.461160069448</v>
      </c>
      <c r="F447" s="297">
        <f t="shared" ca="1" si="47"/>
        <v>3515.0678416667506</v>
      </c>
      <c r="G447" s="288">
        <f t="shared" ca="1" si="46"/>
        <v>146</v>
      </c>
      <c r="H447" s="298" t="s">
        <v>203</v>
      </c>
      <c r="I447" s="299"/>
    </row>
    <row r="448" spans="1:9">
      <c r="A448" s="294">
        <v>45339</v>
      </c>
      <c r="B448" s="292"/>
      <c r="C448" s="295" t="s">
        <v>199</v>
      </c>
      <c r="D448" s="296">
        <v>45339</v>
      </c>
      <c r="E448" s="283">
        <f t="shared" ca="1" si="48"/>
        <v>45484.461160069448</v>
      </c>
      <c r="F448" s="297">
        <f t="shared" ca="1" si="47"/>
        <v>3491.0678416667506</v>
      </c>
      <c r="G448" s="288">
        <f t="shared" ca="1" si="46"/>
        <v>145</v>
      </c>
      <c r="H448" s="298" t="s">
        <v>203</v>
      </c>
      <c r="I448" s="299"/>
    </row>
    <row r="449" spans="1:9">
      <c r="A449" s="294">
        <v>45340</v>
      </c>
      <c r="B449" s="292"/>
      <c r="C449" s="295" t="s">
        <v>199</v>
      </c>
      <c r="D449" s="296">
        <v>45340</v>
      </c>
      <c r="E449" s="283">
        <f t="shared" ca="1" si="48"/>
        <v>45484.461160069448</v>
      </c>
      <c r="F449" s="297">
        <f t="shared" ca="1" si="47"/>
        <v>3467.0678416667506</v>
      </c>
      <c r="G449" s="288">
        <f t="shared" ca="1" si="46"/>
        <v>144</v>
      </c>
      <c r="H449" s="298" t="s">
        <v>203</v>
      </c>
      <c r="I449" s="299"/>
    </row>
    <row r="450" spans="1:9">
      <c r="A450" s="294">
        <v>45341</v>
      </c>
      <c r="B450" s="292"/>
      <c r="C450" s="295" t="s">
        <v>199</v>
      </c>
      <c r="D450" s="296">
        <v>45341</v>
      </c>
      <c r="E450" s="283">
        <f t="shared" ca="1" si="48"/>
        <v>45484.461160069448</v>
      </c>
      <c r="F450" s="297">
        <f t="shared" ca="1" si="47"/>
        <v>3443.0678416667506</v>
      </c>
      <c r="G450" s="288">
        <f t="shared" ca="1" si="46"/>
        <v>143</v>
      </c>
      <c r="H450" s="298" t="s">
        <v>203</v>
      </c>
      <c r="I450" s="299"/>
    </row>
    <row r="451" spans="1:9">
      <c r="A451" s="294">
        <v>45342</v>
      </c>
      <c r="B451" s="292"/>
      <c r="C451" s="295" t="s">
        <v>199</v>
      </c>
      <c r="D451" s="296">
        <v>45342</v>
      </c>
      <c r="E451" s="283">
        <f t="shared" ca="1" si="48"/>
        <v>45484.461160069448</v>
      </c>
      <c r="F451" s="297">
        <f t="shared" ca="1" si="47"/>
        <v>3419.0678416667506</v>
      </c>
      <c r="G451" s="288">
        <f t="shared" ca="1" si="46"/>
        <v>142</v>
      </c>
      <c r="H451" s="298" t="s">
        <v>203</v>
      </c>
      <c r="I451" s="299"/>
    </row>
    <row r="452" spans="1:9">
      <c r="A452" s="294">
        <v>45343</v>
      </c>
      <c r="B452" s="292"/>
      <c r="C452" s="295" t="s">
        <v>199</v>
      </c>
      <c r="D452" s="296">
        <v>45343</v>
      </c>
      <c r="E452" s="283">
        <f t="shared" ca="1" si="48"/>
        <v>45484.461160069448</v>
      </c>
      <c r="F452" s="297">
        <f t="shared" ca="1" si="47"/>
        <v>3395.0678416667506</v>
      </c>
      <c r="G452" s="288">
        <f t="shared" ca="1" si="46"/>
        <v>141</v>
      </c>
      <c r="H452" s="298" t="s">
        <v>203</v>
      </c>
      <c r="I452" s="299"/>
    </row>
    <row r="453" spans="1:9">
      <c r="A453" s="294">
        <v>45344</v>
      </c>
      <c r="B453" s="292"/>
      <c r="C453" s="295" t="s">
        <v>199</v>
      </c>
      <c r="D453" s="296">
        <v>45344</v>
      </c>
      <c r="E453" s="283">
        <f t="shared" ca="1" si="48"/>
        <v>45484.461160069448</v>
      </c>
      <c r="F453" s="297">
        <f t="shared" ca="1" si="47"/>
        <v>3371.0678416667506</v>
      </c>
      <c r="G453" s="288">
        <f t="shared" ca="1" si="46"/>
        <v>140</v>
      </c>
      <c r="H453" s="298" t="s">
        <v>203</v>
      </c>
      <c r="I453" s="299"/>
    </row>
    <row r="454" spans="1:9">
      <c r="A454" s="294">
        <v>45345</v>
      </c>
      <c r="B454" s="292"/>
      <c r="C454" s="295" t="s">
        <v>199</v>
      </c>
      <c r="D454" s="296">
        <v>45345</v>
      </c>
      <c r="E454" s="283">
        <f t="shared" ca="1" si="48"/>
        <v>45484.461160069448</v>
      </c>
      <c r="F454" s="297">
        <f t="shared" ca="1" si="47"/>
        <v>3347.0678416667506</v>
      </c>
      <c r="G454" s="288">
        <f t="shared" ca="1" si="46"/>
        <v>139</v>
      </c>
      <c r="H454" s="298" t="s">
        <v>203</v>
      </c>
      <c r="I454" s="299"/>
    </row>
    <row r="455" spans="1:9">
      <c r="A455" s="294">
        <v>45346</v>
      </c>
      <c r="B455" s="292"/>
      <c r="C455" s="295" t="s">
        <v>199</v>
      </c>
      <c r="D455" s="296">
        <v>45346</v>
      </c>
      <c r="E455" s="283">
        <f t="shared" ca="1" si="48"/>
        <v>45484.461160069448</v>
      </c>
      <c r="F455" s="297">
        <f t="shared" ca="1" si="47"/>
        <v>3323.0678416667506</v>
      </c>
      <c r="G455" s="288">
        <f t="shared" ca="1" si="46"/>
        <v>138</v>
      </c>
      <c r="H455" s="298" t="s">
        <v>203</v>
      </c>
      <c r="I455" s="299"/>
    </row>
    <row r="456" spans="1:9">
      <c r="A456" s="294">
        <v>45347</v>
      </c>
      <c r="B456" s="292"/>
      <c r="C456" s="295" t="s">
        <v>199</v>
      </c>
      <c r="D456" s="296">
        <v>45347</v>
      </c>
      <c r="E456" s="283">
        <f t="shared" ca="1" si="48"/>
        <v>45484.461160069448</v>
      </c>
      <c r="F456" s="297">
        <f t="shared" ca="1" si="47"/>
        <v>3299.0678416667506</v>
      </c>
      <c r="G456" s="288">
        <f t="shared" ca="1" si="46"/>
        <v>137</v>
      </c>
      <c r="H456" s="298" t="s">
        <v>203</v>
      </c>
      <c r="I456" s="299"/>
    </row>
    <row r="457" spans="1:9">
      <c r="A457" s="294">
        <v>45348</v>
      </c>
      <c r="B457" s="292"/>
      <c r="C457" s="295" t="s">
        <v>199</v>
      </c>
      <c r="D457" s="296">
        <v>45348</v>
      </c>
      <c r="E457" s="283">
        <f t="shared" ca="1" si="48"/>
        <v>45484.461160069448</v>
      </c>
      <c r="F457" s="297">
        <f t="shared" ca="1" si="47"/>
        <v>3275.0678416667506</v>
      </c>
      <c r="G457" s="288">
        <f t="shared" ca="1" si="46"/>
        <v>136</v>
      </c>
      <c r="H457" s="298" t="s">
        <v>203</v>
      </c>
      <c r="I457" s="299"/>
    </row>
    <row r="458" spans="1:9">
      <c r="A458" s="294">
        <v>45349</v>
      </c>
      <c r="B458" s="292"/>
      <c r="C458" s="295" t="s">
        <v>199</v>
      </c>
      <c r="D458" s="296">
        <v>45349</v>
      </c>
      <c r="E458" s="283">
        <f t="shared" ca="1" si="48"/>
        <v>45484.461160069448</v>
      </c>
      <c r="F458" s="297">
        <f t="shared" ca="1" si="47"/>
        <v>3251.0678416667506</v>
      </c>
      <c r="G458" s="288">
        <f t="shared" ca="1" si="46"/>
        <v>135</v>
      </c>
      <c r="H458" s="298" t="s">
        <v>203</v>
      </c>
      <c r="I458" s="299"/>
    </row>
    <row r="459" spans="1:9">
      <c r="A459" s="294">
        <v>45350</v>
      </c>
      <c r="B459" s="292"/>
      <c r="C459" s="295" t="s">
        <v>199</v>
      </c>
      <c r="D459" s="296">
        <v>45350</v>
      </c>
      <c r="E459" s="283">
        <f t="shared" ca="1" si="48"/>
        <v>45484.461160069448</v>
      </c>
      <c r="F459" s="297">
        <f t="shared" ca="1" si="47"/>
        <v>3227.0678416667506</v>
      </c>
      <c r="G459" s="288">
        <f t="shared" ca="1" si="46"/>
        <v>134</v>
      </c>
      <c r="H459" s="298" t="s">
        <v>203</v>
      </c>
      <c r="I459" s="299"/>
    </row>
    <row r="460" spans="1:9">
      <c r="A460" s="294">
        <v>45351</v>
      </c>
      <c r="B460" s="292"/>
      <c r="C460" s="295" t="s">
        <v>199</v>
      </c>
      <c r="D460" s="296">
        <v>45351</v>
      </c>
      <c r="E460" s="283">
        <f t="shared" ca="1" si="48"/>
        <v>45484.461160069448</v>
      </c>
      <c r="F460" s="297">
        <f t="shared" ca="1" si="47"/>
        <v>3203.0678416667506</v>
      </c>
      <c r="G460" s="288">
        <f t="shared" ca="1" si="46"/>
        <v>133</v>
      </c>
      <c r="H460" s="298" t="s">
        <v>203</v>
      </c>
      <c r="I460" s="299"/>
    </row>
    <row r="461" spans="1:9">
      <c r="A461" s="336" t="s">
        <v>66</v>
      </c>
      <c r="B461" s="317"/>
      <c r="C461" s="295"/>
      <c r="D461" s="296"/>
      <c r="E461" s="283"/>
      <c r="F461" s="297">
        <f ca="1">SUM(F433:F436)</f>
        <v>3774.734230555594</v>
      </c>
      <c r="G461" s="288">
        <f>DATEDIF(D461,E461,"D")</f>
        <v>0</v>
      </c>
      <c r="H461" s="298"/>
      <c r="I461" s="299"/>
    </row>
    <row r="462" spans="1:9">
      <c r="A462" s="291"/>
      <c r="B462" s="292" t="s">
        <v>60</v>
      </c>
      <c r="C462" s="291"/>
      <c r="D462" s="291"/>
      <c r="E462" s="291"/>
      <c r="F462" s="291"/>
      <c r="G462" s="291"/>
      <c r="H462" s="291"/>
      <c r="I462" s="291"/>
    </row>
    <row r="463" spans="1:9">
      <c r="A463" s="294">
        <v>45323</v>
      </c>
      <c r="B463" s="292"/>
      <c r="C463" s="295" t="s">
        <v>199</v>
      </c>
      <c r="D463" s="296">
        <v>45323.000011574077</v>
      </c>
      <c r="E463" s="296">
        <v>45323.999988425923</v>
      </c>
      <c r="F463" s="297">
        <f>(E463-D463)*24</f>
        <v>23.999444444314577</v>
      </c>
      <c r="G463" s="288">
        <f>DATEDIF(D463,E463,"D")</f>
        <v>0</v>
      </c>
      <c r="H463" s="298" t="s">
        <v>203</v>
      </c>
      <c r="I463" s="299" t="s">
        <v>245</v>
      </c>
    </row>
    <row r="464" spans="1:9">
      <c r="A464" s="294">
        <v>45324</v>
      </c>
      <c r="B464" s="292"/>
      <c r="C464" s="295" t="s">
        <v>199</v>
      </c>
      <c r="D464" s="296">
        <v>45324.000011574077</v>
      </c>
      <c r="E464" s="296">
        <v>45324.819456018522</v>
      </c>
      <c r="F464" s="297">
        <f>(E464-D464)*24</f>
        <v>19.666666666686069</v>
      </c>
      <c r="G464" s="288">
        <f t="shared" ref="G464:G491" si="49">DATEDIF(D464,E464,"D")</f>
        <v>0</v>
      </c>
      <c r="H464" s="298" t="s">
        <v>203</v>
      </c>
      <c r="I464" s="299" t="s">
        <v>245</v>
      </c>
    </row>
    <row r="465" spans="1:9">
      <c r="A465" s="294">
        <v>45325</v>
      </c>
      <c r="B465" s="292"/>
      <c r="C465" s="295" t="s">
        <v>199</v>
      </c>
      <c r="D465" s="296">
        <v>45326.000011574077</v>
      </c>
      <c r="E465" s="296">
        <v>45326.000011574077</v>
      </c>
      <c r="F465" s="297">
        <f t="shared" ref="F465:F491" si="50">(E465-D465)*24</f>
        <v>0</v>
      </c>
      <c r="G465" s="288">
        <f t="shared" si="49"/>
        <v>0</v>
      </c>
      <c r="H465" s="298" t="s">
        <v>203</v>
      </c>
      <c r="I465" s="299"/>
    </row>
    <row r="466" spans="1:9">
      <c r="A466" s="294">
        <v>45326</v>
      </c>
      <c r="B466" s="292"/>
      <c r="C466" s="295" t="s">
        <v>199</v>
      </c>
      <c r="D466" s="296">
        <v>45327.000011574077</v>
      </c>
      <c r="E466" s="296">
        <v>45327.000011574077</v>
      </c>
      <c r="F466" s="297">
        <f t="shared" si="50"/>
        <v>0</v>
      </c>
      <c r="G466" s="288">
        <f t="shared" si="49"/>
        <v>0</v>
      </c>
      <c r="H466" s="298" t="s">
        <v>203</v>
      </c>
      <c r="I466" s="299"/>
    </row>
    <row r="467" spans="1:9">
      <c r="A467" s="294">
        <v>45327</v>
      </c>
      <c r="B467" s="292"/>
      <c r="C467" s="295" t="s">
        <v>199</v>
      </c>
      <c r="D467" s="296">
        <v>45328.000011574077</v>
      </c>
      <c r="E467" s="283">
        <f t="shared" ref="E467:E491" ca="1" si="51">NOW()</f>
        <v>45484.461160069448</v>
      </c>
      <c r="F467" s="297">
        <f t="shared" ca="1" si="50"/>
        <v>3755.0675638889079</v>
      </c>
      <c r="G467" s="288">
        <f t="shared" ca="1" si="49"/>
        <v>156</v>
      </c>
      <c r="H467" s="298" t="s">
        <v>203</v>
      </c>
      <c r="I467" s="299"/>
    </row>
    <row r="468" spans="1:9">
      <c r="A468" s="294">
        <v>45328</v>
      </c>
      <c r="B468" s="292"/>
      <c r="C468" s="295" t="s">
        <v>199</v>
      </c>
      <c r="D468" s="296">
        <v>45328</v>
      </c>
      <c r="E468" s="283">
        <f t="shared" ca="1" si="51"/>
        <v>45484.461160069448</v>
      </c>
      <c r="F468" s="297">
        <f t="shared" ca="1" si="50"/>
        <v>3755.0678416667506</v>
      </c>
      <c r="G468" s="288">
        <f t="shared" ca="1" si="49"/>
        <v>156</v>
      </c>
      <c r="H468" s="298" t="s">
        <v>203</v>
      </c>
      <c r="I468" s="299"/>
    </row>
    <row r="469" spans="1:9">
      <c r="A469" s="294">
        <v>45329</v>
      </c>
      <c r="B469" s="292"/>
      <c r="C469" s="295" t="s">
        <v>199</v>
      </c>
      <c r="D469" s="296">
        <v>45329</v>
      </c>
      <c r="E469" s="283">
        <f t="shared" ca="1" si="51"/>
        <v>45484.461160069448</v>
      </c>
      <c r="F469" s="297">
        <f t="shared" ca="1" si="50"/>
        <v>3731.0678416667506</v>
      </c>
      <c r="G469" s="288">
        <f t="shared" ca="1" si="49"/>
        <v>155</v>
      </c>
      <c r="H469" s="298" t="s">
        <v>203</v>
      </c>
      <c r="I469" s="299"/>
    </row>
    <row r="470" spans="1:9">
      <c r="A470" s="294">
        <v>45330</v>
      </c>
      <c r="B470" s="292"/>
      <c r="C470" s="295" t="s">
        <v>199</v>
      </c>
      <c r="D470" s="296">
        <v>45330</v>
      </c>
      <c r="E470" s="283">
        <f t="shared" ca="1" si="51"/>
        <v>45484.461160069448</v>
      </c>
      <c r="F470" s="297">
        <f t="shared" ca="1" si="50"/>
        <v>3707.0678416667506</v>
      </c>
      <c r="G470" s="288">
        <f t="shared" ca="1" si="49"/>
        <v>154</v>
      </c>
      <c r="H470" s="298" t="s">
        <v>203</v>
      </c>
      <c r="I470" s="299"/>
    </row>
    <row r="471" spans="1:9">
      <c r="A471" s="294">
        <v>45331</v>
      </c>
      <c r="B471" s="292"/>
      <c r="C471" s="295" t="s">
        <v>199</v>
      </c>
      <c r="D471" s="296">
        <v>45331</v>
      </c>
      <c r="E471" s="283">
        <f t="shared" ca="1" si="51"/>
        <v>45484.461160069448</v>
      </c>
      <c r="F471" s="297">
        <f t="shared" ca="1" si="50"/>
        <v>3683.0678416667506</v>
      </c>
      <c r="G471" s="288">
        <f t="shared" ca="1" si="49"/>
        <v>153</v>
      </c>
      <c r="H471" s="298" t="s">
        <v>203</v>
      </c>
      <c r="I471" s="299"/>
    </row>
    <row r="472" spans="1:9">
      <c r="A472" s="294">
        <v>45332</v>
      </c>
      <c r="B472" s="292"/>
      <c r="C472" s="295" t="s">
        <v>199</v>
      </c>
      <c r="D472" s="296">
        <v>45332</v>
      </c>
      <c r="E472" s="283">
        <f t="shared" ca="1" si="51"/>
        <v>45484.461160069448</v>
      </c>
      <c r="F472" s="297">
        <f t="shared" ca="1" si="50"/>
        <v>3659.0678416667506</v>
      </c>
      <c r="G472" s="288">
        <f t="shared" ca="1" si="49"/>
        <v>152</v>
      </c>
      <c r="H472" s="298" t="s">
        <v>203</v>
      </c>
      <c r="I472" s="299"/>
    </row>
    <row r="473" spans="1:9">
      <c r="A473" s="294">
        <v>45333</v>
      </c>
      <c r="B473" s="292"/>
      <c r="C473" s="295" t="s">
        <v>199</v>
      </c>
      <c r="D473" s="296">
        <v>45333</v>
      </c>
      <c r="E473" s="283">
        <f t="shared" ca="1" si="51"/>
        <v>45484.461160069448</v>
      </c>
      <c r="F473" s="297">
        <f t="shared" ca="1" si="50"/>
        <v>3635.0678416667506</v>
      </c>
      <c r="G473" s="288">
        <f t="shared" ca="1" si="49"/>
        <v>151</v>
      </c>
      <c r="H473" s="298" t="s">
        <v>203</v>
      </c>
      <c r="I473" s="299"/>
    </row>
    <row r="474" spans="1:9">
      <c r="A474" s="294">
        <v>45334</v>
      </c>
      <c r="B474" s="292"/>
      <c r="C474" s="295" t="s">
        <v>199</v>
      </c>
      <c r="D474" s="296">
        <v>45334</v>
      </c>
      <c r="E474" s="283">
        <f t="shared" ca="1" si="51"/>
        <v>45484.461160069448</v>
      </c>
      <c r="F474" s="297">
        <f t="shared" ca="1" si="50"/>
        <v>3611.0678416667506</v>
      </c>
      <c r="G474" s="288">
        <f t="shared" ca="1" si="49"/>
        <v>150</v>
      </c>
      <c r="H474" s="298" t="s">
        <v>203</v>
      </c>
      <c r="I474" s="299"/>
    </row>
    <row r="475" spans="1:9">
      <c r="A475" s="294">
        <v>45335</v>
      </c>
      <c r="B475" s="292"/>
      <c r="C475" s="295" t="s">
        <v>199</v>
      </c>
      <c r="D475" s="296">
        <v>45335</v>
      </c>
      <c r="E475" s="283">
        <f t="shared" ca="1" si="51"/>
        <v>45484.461160069448</v>
      </c>
      <c r="F475" s="297">
        <f t="shared" ca="1" si="50"/>
        <v>3587.0678416667506</v>
      </c>
      <c r="G475" s="288">
        <f t="shared" ca="1" si="49"/>
        <v>149</v>
      </c>
      <c r="H475" s="298" t="s">
        <v>203</v>
      </c>
      <c r="I475" s="299"/>
    </row>
    <row r="476" spans="1:9">
      <c r="A476" s="294">
        <v>45336</v>
      </c>
      <c r="B476" s="292"/>
      <c r="C476" s="295" t="s">
        <v>199</v>
      </c>
      <c r="D476" s="296">
        <v>45336</v>
      </c>
      <c r="E476" s="283">
        <f t="shared" ca="1" si="51"/>
        <v>45484.461160069448</v>
      </c>
      <c r="F476" s="297">
        <f t="shared" ca="1" si="50"/>
        <v>3563.0678416667506</v>
      </c>
      <c r="G476" s="288">
        <f t="shared" ca="1" si="49"/>
        <v>148</v>
      </c>
      <c r="H476" s="298" t="s">
        <v>203</v>
      </c>
      <c r="I476" s="299"/>
    </row>
    <row r="477" spans="1:9">
      <c r="A477" s="294">
        <v>45337</v>
      </c>
      <c r="B477" s="292"/>
      <c r="C477" s="295" t="s">
        <v>199</v>
      </c>
      <c r="D477" s="296">
        <v>45337</v>
      </c>
      <c r="E477" s="283">
        <f t="shared" ca="1" si="51"/>
        <v>45484.461160069448</v>
      </c>
      <c r="F477" s="297">
        <f t="shared" ca="1" si="50"/>
        <v>3539.0678416667506</v>
      </c>
      <c r="G477" s="288">
        <f t="shared" ca="1" si="49"/>
        <v>147</v>
      </c>
      <c r="H477" s="298" t="s">
        <v>203</v>
      </c>
      <c r="I477" s="299"/>
    </row>
    <row r="478" spans="1:9">
      <c r="A478" s="294">
        <v>45338</v>
      </c>
      <c r="B478" s="292"/>
      <c r="C478" s="295" t="s">
        <v>199</v>
      </c>
      <c r="D478" s="296">
        <v>45338</v>
      </c>
      <c r="E478" s="283">
        <f t="shared" ca="1" si="51"/>
        <v>45484.461160069448</v>
      </c>
      <c r="F478" s="297">
        <f t="shared" ca="1" si="50"/>
        <v>3515.0678416667506</v>
      </c>
      <c r="G478" s="288">
        <f t="shared" ca="1" si="49"/>
        <v>146</v>
      </c>
      <c r="H478" s="298" t="s">
        <v>203</v>
      </c>
      <c r="I478" s="299"/>
    </row>
    <row r="479" spans="1:9">
      <c r="A479" s="294">
        <v>45339</v>
      </c>
      <c r="B479" s="292"/>
      <c r="C479" s="295" t="s">
        <v>199</v>
      </c>
      <c r="D479" s="296">
        <v>45339</v>
      </c>
      <c r="E479" s="283">
        <f t="shared" ca="1" si="51"/>
        <v>45484.461160069448</v>
      </c>
      <c r="F479" s="297">
        <f t="shared" ca="1" si="50"/>
        <v>3491.0678416667506</v>
      </c>
      <c r="G479" s="288">
        <f t="shared" ca="1" si="49"/>
        <v>145</v>
      </c>
      <c r="H479" s="298" t="s">
        <v>203</v>
      </c>
      <c r="I479" s="299"/>
    </row>
    <row r="480" spans="1:9">
      <c r="A480" s="294">
        <v>45340</v>
      </c>
      <c r="B480" s="292"/>
      <c r="C480" s="295" t="s">
        <v>199</v>
      </c>
      <c r="D480" s="296">
        <v>45340</v>
      </c>
      <c r="E480" s="283">
        <f t="shared" ca="1" si="51"/>
        <v>45484.461160069448</v>
      </c>
      <c r="F480" s="297">
        <f t="shared" ca="1" si="50"/>
        <v>3467.0678416667506</v>
      </c>
      <c r="G480" s="288">
        <f t="shared" ca="1" si="49"/>
        <v>144</v>
      </c>
      <c r="H480" s="298" t="s">
        <v>203</v>
      </c>
      <c r="I480" s="299"/>
    </row>
    <row r="481" spans="1:9">
      <c r="A481" s="294">
        <v>45341</v>
      </c>
      <c r="B481" s="292"/>
      <c r="C481" s="295" t="s">
        <v>199</v>
      </c>
      <c r="D481" s="296">
        <v>45341</v>
      </c>
      <c r="E481" s="283">
        <f t="shared" ca="1" si="51"/>
        <v>45484.461160069448</v>
      </c>
      <c r="F481" s="297">
        <f t="shared" ca="1" si="50"/>
        <v>3443.0678416667506</v>
      </c>
      <c r="G481" s="288">
        <f t="shared" ca="1" si="49"/>
        <v>143</v>
      </c>
      <c r="H481" s="298" t="s">
        <v>203</v>
      </c>
      <c r="I481" s="299"/>
    </row>
    <row r="482" spans="1:9">
      <c r="A482" s="294">
        <v>45342</v>
      </c>
      <c r="B482" s="292"/>
      <c r="C482" s="295" t="s">
        <v>199</v>
      </c>
      <c r="D482" s="296">
        <v>45342</v>
      </c>
      <c r="E482" s="283">
        <f t="shared" ca="1" si="51"/>
        <v>45484.461160069448</v>
      </c>
      <c r="F482" s="297">
        <f t="shared" ca="1" si="50"/>
        <v>3419.0678416667506</v>
      </c>
      <c r="G482" s="288">
        <f t="shared" ca="1" si="49"/>
        <v>142</v>
      </c>
      <c r="H482" s="298" t="s">
        <v>203</v>
      </c>
      <c r="I482" s="299"/>
    </row>
    <row r="483" spans="1:9">
      <c r="A483" s="294">
        <v>45343</v>
      </c>
      <c r="B483" s="292"/>
      <c r="C483" s="295" t="s">
        <v>199</v>
      </c>
      <c r="D483" s="296">
        <v>45343</v>
      </c>
      <c r="E483" s="283">
        <f t="shared" ca="1" si="51"/>
        <v>45484.461160069448</v>
      </c>
      <c r="F483" s="297">
        <f t="shared" ca="1" si="50"/>
        <v>3395.0678416667506</v>
      </c>
      <c r="G483" s="288">
        <f t="shared" ca="1" si="49"/>
        <v>141</v>
      </c>
      <c r="H483" s="298" t="s">
        <v>203</v>
      </c>
      <c r="I483" s="299"/>
    </row>
    <row r="484" spans="1:9">
      <c r="A484" s="294">
        <v>45344</v>
      </c>
      <c r="B484" s="292"/>
      <c r="C484" s="295" t="s">
        <v>199</v>
      </c>
      <c r="D484" s="296">
        <v>45344</v>
      </c>
      <c r="E484" s="283">
        <f t="shared" ca="1" si="51"/>
        <v>45484.461160069448</v>
      </c>
      <c r="F484" s="297">
        <f t="shared" ca="1" si="50"/>
        <v>3371.0678416667506</v>
      </c>
      <c r="G484" s="288">
        <f t="shared" ca="1" si="49"/>
        <v>140</v>
      </c>
      <c r="H484" s="298" t="s">
        <v>203</v>
      </c>
      <c r="I484" s="299"/>
    </row>
    <row r="485" spans="1:9">
      <c r="A485" s="294">
        <v>45345</v>
      </c>
      <c r="B485" s="292"/>
      <c r="C485" s="295" t="s">
        <v>199</v>
      </c>
      <c r="D485" s="296">
        <v>45345</v>
      </c>
      <c r="E485" s="283">
        <f t="shared" ca="1" si="51"/>
        <v>45484.461160069448</v>
      </c>
      <c r="F485" s="297">
        <f t="shared" ca="1" si="50"/>
        <v>3347.0678416667506</v>
      </c>
      <c r="G485" s="288">
        <f t="shared" ca="1" si="49"/>
        <v>139</v>
      </c>
      <c r="H485" s="298" t="s">
        <v>203</v>
      </c>
      <c r="I485" s="299"/>
    </row>
    <row r="486" spans="1:9">
      <c r="A486" s="294">
        <v>45346</v>
      </c>
      <c r="B486" s="292"/>
      <c r="C486" s="295" t="s">
        <v>199</v>
      </c>
      <c r="D486" s="296">
        <v>45346</v>
      </c>
      <c r="E486" s="283">
        <f t="shared" ca="1" si="51"/>
        <v>45484.461160069448</v>
      </c>
      <c r="F486" s="297">
        <f t="shared" ca="1" si="50"/>
        <v>3323.0678416667506</v>
      </c>
      <c r="G486" s="288">
        <f t="shared" ca="1" si="49"/>
        <v>138</v>
      </c>
      <c r="H486" s="298" t="s">
        <v>203</v>
      </c>
      <c r="I486" s="299"/>
    </row>
    <row r="487" spans="1:9">
      <c r="A487" s="294">
        <v>45347</v>
      </c>
      <c r="B487" s="292"/>
      <c r="C487" s="295" t="s">
        <v>199</v>
      </c>
      <c r="D487" s="296">
        <v>45347</v>
      </c>
      <c r="E487" s="283">
        <f t="shared" ca="1" si="51"/>
        <v>45484.461160069448</v>
      </c>
      <c r="F487" s="297">
        <f t="shared" ca="1" si="50"/>
        <v>3299.0678416667506</v>
      </c>
      <c r="G487" s="288">
        <f t="shared" ca="1" si="49"/>
        <v>137</v>
      </c>
      <c r="H487" s="298" t="s">
        <v>203</v>
      </c>
      <c r="I487" s="299"/>
    </row>
    <row r="488" spans="1:9">
      <c r="A488" s="294">
        <v>45348</v>
      </c>
      <c r="B488" s="292"/>
      <c r="C488" s="295" t="s">
        <v>199</v>
      </c>
      <c r="D488" s="296">
        <v>45348</v>
      </c>
      <c r="E488" s="283">
        <f t="shared" ca="1" si="51"/>
        <v>45484.461160069448</v>
      </c>
      <c r="F488" s="297">
        <f t="shared" ca="1" si="50"/>
        <v>3275.0678416667506</v>
      </c>
      <c r="G488" s="288">
        <f t="shared" ca="1" si="49"/>
        <v>136</v>
      </c>
      <c r="H488" s="298" t="s">
        <v>203</v>
      </c>
      <c r="I488" s="299"/>
    </row>
    <row r="489" spans="1:9">
      <c r="A489" s="294">
        <v>45349</v>
      </c>
      <c r="B489" s="292"/>
      <c r="C489" s="295" t="s">
        <v>199</v>
      </c>
      <c r="D489" s="296">
        <v>45349</v>
      </c>
      <c r="E489" s="283">
        <f t="shared" ca="1" si="51"/>
        <v>45484.461160069448</v>
      </c>
      <c r="F489" s="297">
        <f t="shared" ca="1" si="50"/>
        <v>3251.0678416667506</v>
      </c>
      <c r="G489" s="288">
        <f t="shared" ca="1" si="49"/>
        <v>135</v>
      </c>
      <c r="H489" s="298" t="s">
        <v>203</v>
      </c>
      <c r="I489" s="299"/>
    </row>
    <row r="490" spans="1:9">
      <c r="A490" s="294">
        <v>45350</v>
      </c>
      <c r="B490" s="292"/>
      <c r="C490" s="295" t="s">
        <v>199</v>
      </c>
      <c r="D490" s="296">
        <v>45350</v>
      </c>
      <c r="E490" s="283">
        <f t="shared" ca="1" si="51"/>
        <v>45484.461160069448</v>
      </c>
      <c r="F490" s="297">
        <f t="shared" ca="1" si="50"/>
        <v>3227.0678416667506</v>
      </c>
      <c r="G490" s="288">
        <f t="shared" ca="1" si="49"/>
        <v>134</v>
      </c>
      <c r="H490" s="298" t="s">
        <v>203</v>
      </c>
      <c r="I490" s="299"/>
    </row>
    <row r="491" spans="1:9">
      <c r="A491" s="294">
        <v>45351</v>
      </c>
      <c r="B491" s="292"/>
      <c r="C491" s="295" t="s">
        <v>199</v>
      </c>
      <c r="D491" s="296">
        <v>45351</v>
      </c>
      <c r="E491" s="283">
        <f t="shared" ca="1" si="51"/>
        <v>45484.461160069448</v>
      </c>
      <c r="F491" s="297">
        <f t="shared" ca="1" si="50"/>
        <v>3203.0678416667506</v>
      </c>
      <c r="G491" s="288">
        <f t="shared" ca="1" si="49"/>
        <v>133</v>
      </c>
      <c r="H491" s="298" t="s">
        <v>203</v>
      </c>
      <c r="I491" s="299"/>
    </row>
    <row r="492" spans="1:9">
      <c r="A492" s="336" t="s">
        <v>66</v>
      </c>
      <c r="B492" s="317"/>
      <c r="C492" s="295"/>
      <c r="D492" s="296"/>
      <c r="E492" s="283"/>
      <c r="F492" s="297">
        <f ca="1">SUM(F464:F467)</f>
        <v>3774.734230555594</v>
      </c>
      <c r="G492" s="288">
        <f>DATEDIF(D492,E492,"D")</f>
        <v>0</v>
      </c>
      <c r="H492" s="298"/>
      <c r="I492" s="299"/>
    </row>
    <row r="493" spans="1:9">
      <c r="A493" s="291"/>
      <c r="B493" s="292" t="s">
        <v>62</v>
      </c>
      <c r="C493" s="291"/>
      <c r="D493" s="291"/>
      <c r="E493" s="291"/>
      <c r="F493" s="291"/>
      <c r="G493" s="291"/>
      <c r="H493" s="291"/>
      <c r="I493" s="291"/>
    </row>
    <row r="494" spans="1:9">
      <c r="A494" s="294">
        <v>45323</v>
      </c>
      <c r="B494" s="292"/>
      <c r="C494" s="295" t="s">
        <v>199</v>
      </c>
      <c r="D494" s="296">
        <v>45323.000011574077</v>
      </c>
      <c r="E494" s="296">
        <v>45323.999988425923</v>
      </c>
      <c r="F494" s="297">
        <f>(E494-D494)*24</f>
        <v>23.999444444314577</v>
      </c>
      <c r="G494" s="288">
        <f>DATEDIF(D494,E494,"D")</f>
        <v>0</v>
      </c>
      <c r="H494" s="298" t="s">
        <v>203</v>
      </c>
      <c r="I494" s="299" t="s">
        <v>245</v>
      </c>
    </row>
    <row r="495" spans="1:9">
      <c r="A495" s="294">
        <v>45324</v>
      </c>
      <c r="B495" s="292"/>
      <c r="C495" s="295" t="s">
        <v>199</v>
      </c>
      <c r="D495" s="296">
        <v>45324.000011574077</v>
      </c>
      <c r="E495" s="296">
        <v>45324.819456018522</v>
      </c>
      <c r="F495" s="297">
        <f>(E495-D495)*24</f>
        <v>19.666666666686069</v>
      </c>
      <c r="G495" s="288">
        <f t="shared" ref="G495:G522" si="52">DATEDIF(D495,E495,"D")</f>
        <v>0</v>
      </c>
      <c r="H495" s="298" t="s">
        <v>203</v>
      </c>
      <c r="I495" s="299" t="s">
        <v>245</v>
      </c>
    </row>
    <row r="496" spans="1:9">
      <c r="A496" s="294">
        <v>45325</v>
      </c>
      <c r="B496" s="292"/>
      <c r="C496" s="295" t="s">
        <v>199</v>
      </c>
      <c r="D496" s="296">
        <v>45326.000011574077</v>
      </c>
      <c r="E496" s="296">
        <v>45326.000011574077</v>
      </c>
      <c r="F496" s="297">
        <f t="shared" ref="F496:F522" si="53">(E496-D496)*24</f>
        <v>0</v>
      </c>
      <c r="G496" s="288">
        <f t="shared" si="52"/>
        <v>0</v>
      </c>
      <c r="H496" s="298" t="s">
        <v>203</v>
      </c>
      <c r="I496" s="299"/>
    </row>
    <row r="497" spans="1:9">
      <c r="A497" s="294">
        <v>45326</v>
      </c>
      <c r="B497" s="292"/>
      <c r="C497" s="295" t="s">
        <v>199</v>
      </c>
      <c r="D497" s="296">
        <v>45327.000011574077</v>
      </c>
      <c r="E497" s="296">
        <v>45327.000011574077</v>
      </c>
      <c r="F497" s="297">
        <f t="shared" si="53"/>
        <v>0</v>
      </c>
      <c r="G497" s="288">
        <f t="shared" si="52"/>
        <v>0</v>
      </c>
      <c r="H497" s="298" t="s">
        <v>203</v>
      </c>
      <c r="I497" s="299"/>
    </row>
    <row r="498" spans="1:9">
      <c r="A498" s="294">
        <v>45327</v>
      </c>
      <c r="B498" s="292"/>
      <c r="C498" s="295" t="s">
        <v>199</v>
      </c>
      <c r="D498" s="296">
        <v>45328.000011574077</v>
      </c>
      <c r="E498" s="283">
        <f t="shared" ref="E498:E522" ca="1" si="54">NOW()</f>
        <v>45484.461160069448</v>
      </c>
      <c r="F498" s="297">
        <f t="shared" ca="1" si="53"/>
        <v>3755.0675638889079</v>
      </c>
      <c r="G498" s="288">
        <f t="shared" ca="1" si="52"/>
        <v>156</v>
      </c>
      <c r="H498" s="298" t="s">
        <v>203</v>
      </c>
      <c r="I498" s="299"/>
    </row>
    <row r="499" spans="1:9">
      <c r="A499" s="294">
        <v>45328</v>
      </c>
      <c r="B499" s="292"/>
      <c r="C499" s="295" t="s">
        <v>199</v>
      </c>
      <c r="D499" s="296">
        <v>45328</v>
      </c>
      <c r="E499" s="283">
        <f t="shared" ca="1" si="54"/>
        <v>45484.461160069448</v>
      </c>
      <c r="F499" s="297">
        <f t="shared" ca="1" si="53"/>
        <v>3755.0678416667506</v>
      </c>
      <c r="G499" s="288">
        <f t="shared" ca="1" si="52"/>
        <v>156</v>
      </c>
      <c r="H499" s="298" t="s">
        <v>203</v>
      </c>
      <c r="I499" s="299"/>
    </row>
    <row r="500" spans="1:9">
      <c r="A500" s="294">
        <v>45329</v>
      </c>
      <c r="B500" s="292"/>
      <c r="C500" s="295" t="s">
        <v>199</v>
      </c>
      <c r="D500" s="296">
        <v>45329</v>
      </c>
      <c r="E500" s="283">
        <f t="shared" ca="1" si="54"/>
        <v>45484.461160069448</v>
      </c>
      <c r="F500" s="297">
        <f t="shared" ca="1" si="53"/>
        <v>3731.0678416667506</v>
      </c>
      <c r="G500" s="288">
        <f t="shared" ca="1" si="52"/>
        <v>155</v>
      </c>
      <c r="H500" s="298" t="s">
        <v>203</v>
      </c>
      <c r="I500" s="299"/>
    </row>
    <row r="501" spans="1:9">
      <c r="A501" s="294">
        <v>45330</v>
      </c>
      <c r="B501" s="292"/>
      <c r="C501" s="295" t="s">
        <v>199</v>
      </c>
      <c r="D501" s="296">
        <v>45330</v>
      </c>
      <c r="E501" s="283">
        <f t="shared" ca="1" si="54"/>
        <v>45484.461160069448</v>
      </c>
      <c r="F501" s="297">
        <f t="shared" ca="1" si="53"/>
        <v>3707.0678416667506</v>
      </c>
      <c r="G501" s="288">
        <f t="shared" ca="1" si="52"/>
        <v>154</v>
      </c>
      <c r="H501" s="298" t="s">
        <v>203</v>
      </c>
      <c r="I501" s="299"/>
    </row>
    <row r="502" spans="1:9">
      <c r="A502" s="294">
        <v>45331</v>
      </c>
      <c r="B502" s="292"/>
      <c r="C502" s="295" t="s">
        <v>199</v>
      </c>
      <c r="D502" s="296">
        <v>45331</v>
      </c>
      <c r="E502" s="283">
        <f t="shared" ca="1" si="54"/>
        <v>45484.461160069448</v>
      </c>
      <c r="F502" s="297">
        <f t="shared" ca="1" si="53"/>
        <v>3683.0678416667506</v>
      </c>
      <c r="G502" s="288">
        <f t="shared" ca="1" si="52"/>
        <v>153</v>
      </c>
      <c r="H502" s="298" t="s">
        <v>203</v>
      </c>
      <c r="I502" s="299"/>
    </row>
    <row r="503" spans="1:9">
      <c r="A503" s="294">
        <v>45332</v>
      </c>
      <c r="B503" s="292"/>
      <c r="C503" s="295" t="s">
        <v>199</v>
      </c>
      <c r="D503" s="296">
        <v>45332</v>
      </c>
      <c r="E503" s="283">
        <f t="shared" ca="1" si="54"/>
        <v>45484.461160069448</v>
      </c>
      <c r="F503" s="297">
        <f t="shared" ca="1" si="53"/>
        <v>3659.0678416667506</v>
      </c>
      <c r="G503" s="288">
        <f t="shared" ca="1" si="52"/>
        <v>152</v>
      </c>
      <c r="H503" s="298" t="s">
        <v>203</v>
      </c>
      <c r="I503" s="299"/>
    </row>
    <row r="504" spans="1:9">
      <c r="A504" s="294">
        <v>45333</v>
      </c>
      <c r="B504" s="292"/>
      <c r="C504" s="295" t="s">
        <v>199</v>
      </c>
      <c r="D504" s="296">
        <v>45333</v>
      </c>
      <c r="E504" s="283">
        <f t="shared" ca="1" si="54"/>
        <v>45484.461160069448</v>
      </c>
      <c r="F504" s="297">
        <f t="shared" ca="1" si="53"/>
        <v>3635.0678416667506</v>
      </c>
      <c r="G504" s="288">
        <f t="shared" ca="1" si="52"/>
        <v>151</v>
      </c>
      <c r="H504" s="298" t="s">
        <v>203</v>
      </c>
      <c r="I504" s="299"/>
    </row>
    <row r="505" spans="1:9">
      <c r="A505" s="294">
        <v>45334</v>
      </c>
      <c r="B505" s="292"/>
      <c r="C505" s="295" t="s">
        <v>199</v>
      </c>
      <c r="D505" s="296">
        <v>45334</v>
      </c>
      <c r="E505" s="283">
        <f t="shared" ca="1" si="54"/>
        <v>45484.461160069448</v>
      </c>
      <c r="F505" s="297">
        <f t="shared" ca="1" si="53"/>
        <v>3611.0678416667506</v>
      </c>
      <c r="G505" s="288">
        <f t="shared" ca="1" si="52"/>
        <v>150</v>
      </c>
      <c r="H505" s="298" t="s">
        <v>203</v>
      </c>
      <c r="I505" s="299"/>
    </row>
    <row r="506" spans="1:9">
      <c r="A506" s="294">
        <v>45335</v>
      </c>
      <c r="B506" s="292"/>
      <c r="C506" s="295" t="s">
        <v>199</v>
      </c>
      <c r="D506" s="296">
        <v>45335</v>
      </c>
      <c r="E506" s="283">
        <f t="shared" ca="1" si="54"/>
        <v>45484.461160069448</v>
      </c>
      <c r="F506" s="297">
        <f t="shared" ca="1" si="53"/>
        <v>3587.0678416667506</v>
      </c>
      <c r="G506" s="288">
        <f t="shared" ca="1" si="52"/>
        <v>149</v>
      </c>
      <c r="H506" s="298" t="s">
        <v>203</v>
      </c>
      <c r="I506" s="299"/>
    </row>
    <row r="507" spans="1:9">
      <c r="A507" s="294">
        <v>45336</v>
      </c>
      <c r="B507" s="292"/>
      <c r="C507" s="295" t="s">
        <v>199</v>
      </c>
      <c r="D507" s="296">
        <v>45336</v>
      </c>
      <c r="E507" s="283">
        <f t="shared" ca="1" si="54"/>
        <v>45484.461160069448</v>
      </c>
      <c r="F507" s="297">
        <f t="shared" ca="1" si="53"/>
        <v>3563.0678416667506</v>
      </c>
      <c r="G507" s="288">
        <f t="shared" ca="1" si="52"/>
        <v>148</v>
      </c>
      <c r="H507" s="298" t="s">
        <v>203</v>
      </c>
      <c r="I507" s="299"/>
    </row>
    <row r="508" spans="1:9">
      <c r="A508" s="294">
        <v>45337</v>
      </c>
      <c r="B508" s="292"/>
      <c r="C508" s="295" t="s">
        <v>199</v>
      </c>
      <c r="D508" s="296">
        <v>45337</v>
      </c>
      <c r="E508" s="283">
        <f t="shared" ca="1" si="54"/>
        <v>45484.461160069448</v>
      </c>
      <c r="F508" s="297">
        <f t="shared" ca="1" si="53"/>
        <v>3539.0678416667506</v>
      </c>
      <c r="G508" s="288">
        <f t="shared" ca="1" si="52"/>
        <v>147</v>
      </c>
      <c r="H508" s="298" t="s">
        <v>203</v>
      </c>
      <c r="I508" s="299"/>
    </row>
    <row r="509" spans="1:9">
      <c r="A509" s="294">
        <v>45338</v>
      </c>
      <c r="B509" s="292"/>
      <c r="C509" s="295" t="s">
        <v>199</v>
      </c>
      <c r="D509" s="296">
        <v>45338</v>
      </c>
      <c r="E509" s="283">
        <f t="shared" ca="1" si="54"/>
        <v>45484.461160069448</v>
      </c>
      <c r="F509" s="297">
        <f t="shared" ca="1" si="53"/>
        <v>3515.0678416667506</v>
      </c>
      <c r="G509" s="288">
        <f t="shared" ca="1" si="52"/>
        <v>146</v>
      </c>
      <c r="H509" s="298" t="s">
        <v>203</v>
      </c>
      <c r="I509" s="299"/>
    </row>
    <row r="510" spans="1:9">
      <c r="A510" s="294">
        <v>45339</v>
      </c>
      <c r="B510" s="292"/>
      <c r="C510" s="295" t="s">
        <v>199</v>
      </c>
      <c r="D510" s="296">
        <v>45339</v>
      </c>
      <c r="E510" s="283">
        <f t="shared" ca="1" si="54"/>
        <v>45484.461160069448</v>
      </c>
      <c r="F510" s="297">
        <f t="shared" ca="1" si="53"/>
        <v>3491.0678416667506</v>
      </c>
      <c r="G510" s="288">
        <f t="shared" ca="1" si="52"/>
        <v>145</v>
      </c>
      <c r="H510" s="298" t="s">
        <v>203</v>
      </c>
      <c r="I510" s="299"/>
    </row>
    <row r="511" spans="1:9">
      <c r="A511" s="294">
        <v>45340</v>
      </c>
      <c r="B511" s="292"/>
      <c r="C511" s="295" t="s">
        <v>199</v>
      </c>
      <c r="D511" s="296">
        <v>45340</v>
      </c>
      <c r="E511" s="283">
        <f t="shared" ca="1" si="54"/>
        <v>45484.461160069448</v>
      </c>
      <c r="F511" s="297">
        <f t="shared" ca="1" si="53"/>
        <v>3467.0678416667506</v>
      </c>
      <c r="G511" s="288">
        <f t="shared" ca="1" si="52"/>
        <v>144</v>
      </c>
      <c r="H511" s="298" t="s">
        <v>203</v>
      </c>
      <c r="I511" s="299"/>
    </row>
    <row r="512" spans="1:9">
      <c r="A512" s="294">
        <v>45341</v>
      </c>
      <c r="B512" s="292"/>
      <c r="C512" s="295" t="s">
        <v>199</v>
      </c>
      <c r="D512" s="296">
        <v>45341</v>
      </c>
      <c r="E512" s="283">
        <f t="shared" ca="1" si="54"/>
        <v>45484.461160069448</v>
      </c>
      <c r="F512" s="297">
        <f t="shared" ca="1" si="53"/>
        <v>3443.0678416667506</v>
      </c>
      <c r="G512" s="288">
        <f t="shared" ca="1" si="52"/>
        <v>143</v>
      </c>
      <c r="H512" s="298" t="s">
        <v>203</v>
      </c>
      <c r="I512" s="299"/>
    </row>
    <row r="513" spans="1:9">
      <c r="A513" s="294">
        <v>45342</v>
      </c>
      <c r="B513" s="292"/>
      <c r="C513" s="295" t="s">
        <v>199</v>
      </c>
      <c r="D513" s="296">
        <v>45342</v>
      </c>
      <c r="E513" s="283">
        <f t="shared" ca="1" si="54"/>
        <v>45484.461160069448</v>
      </c>
      <c r="F513" s="297">
        <f t="shared" ca="1" si="53"/>
        <v>3419.0678416667506</v>
      </c>
      <c r="G513" s="288">
        <f t="shared" ca="1" si="52"/>
        <v>142</v>
      </c>
      <c r="H513" s="298" t="s">
        <v>203</v>
      </c>
      <c r="I513" s="299"/>
    </row>
    <row r="514" spans="1:9">
      <c r="A514" s="294">
        <v>45343</v>
      </c>
      <c r="B514" s="292"/>
      <c r="C514" s="295" t="s">
        <v>199</v>
      </c>
      <c r="D514" s="296">
        <v>45343</v>
      </c>
      <c r="E514" s="283">
        <f t="shared" ca="1" si="54"/>
        <v>45484.461160069448</v>
      </c>
      <c r="F514" s="297">
        <f t="shared" ca="1" si="53"/>
        <v>3395.0678416667506</v>
      </c>
      <c r="G514" s="288">
        <f t="shared" ca="1" si="52"/>
        <v>141</v>
      </c>
      <c r="H514" s="298" t="s">
        <v>203</v>
      </c>
      <c r="I514" s="299"/>
    </row>
    <row r="515" spans="1:9">
      <c r="A515" s="294">
        <v>45344</v>
      </c>
      <c r="B515" s="292"/>
      <c r="C515" s="295" t="s">
        <v>199</v>
      </c>
      <c r="D515" s="296">
        <v>45344</v>
      </c>
      <c r="E515" s="283">
        <f t="shared" ca="1" si="54"/>
        <v>45484.461160069448</v>
      </c>
      <c r="F515" s="297">
        <f t="shared" ca="1" si="53"/>
        <v>3371.0678416667506</v>
      </c>
      <c r="G515" s="288">
        <f t="shared" ca="1" si="52"/>
        <v>140</v>
      </c>
      <c r="H515" s="298" t="s">
        <v>203</v>
      </c>
      <c r="I515" s="299"/>
    </row>
    <row r="516" spans="1:9">
      <c r="A516" s="294">
        <v>45345</v>
      </c>
      <c r="B516" s="292"/>
      <c r="C516" s="295" t="s">
        <v>199</v>
      </c>
      <c r="D516" s="296">
        <v>45345</v>
      </c>
      <c r="E516" s="283">
        <f t="shared" ca="1" si="54"/>
        <v>45484.461160069448</v>
      </c>
      <c r="F516" s="297">
        <f t="shared" ca="1" si="53"/>
        <v>3347.0678416667506</v>
      </c>
      <c r="G516" s="288">
        <f t="shared" ca="1" si="52"/>
        <v>139</v>
      </c>
      <c r="H516" s="298" t="s">
        <v>203</v>
      </c>
      <c r="I516" s="299"/>
    </row>
    <row r="517" spans="1:9">
      <c r="A517" s="294">
        <v>45346</v>
      </c>
      <c r="B517" s="292"/>
      <c r="C517" s="295" t="s">
        <v>199</v>
      </c>
      <c r="D517" s="296">
        <v>45346</v>
      </c>
      <c r="E517" s="283">
        <f t="shared" ca="1" si="54"/>
        <v>45484.461160069448</v>
      </c>
      <c r="F517" s="297">
        <f t="shared" ca="1" si="53"/>
        <v>3323.0678416667506</v>
      </c>
      <c r="G517" s="288">
        <f t="shared" ca="1" si="52"/>
        <v>138</v>
      </c>
      <c r="H517" s="298" t="s">
        <v>203</v>
      </c>
      <c r="I517" s="299"/>
    </row>
    <row r="518" spans="1:9">
      <c r="A518" s="294">
        <v>45347</v>
      </c>
      <c r="B518" s="292"/>
      <c r="C518" s="295" t="s">
        <v>199</v>
      </c>
      <c r="D518" s="296">
        <v>45347</v>
      </c>
      <c r="E518" s="283">
        <f t="shared" ca="1" si="54"/>
        <v>45484.461160069448</v>
      </c>
      <c r="F518" s="297">
        <f t="shared" ca="1" si="53"/>
        <v>3299.0678416667506</v>
      </c>
      <c r="G518" s="288">
        <f t="shared" ca="1" si="52"/>
        <v>137</v>
      </c>
      <c r="H518" s="298" t="s">
        <v>203</v>
      </c>
      <c r="I518" s="299"/>
    </row>
    <row r="519" spans="1:9">
      <c r="A519" s="294">
        <v>45348</v>
      </c>
      <c r="B519" s="292"/>
      <c r="C519" s="295" t="s">
        <v>199</v>
      </c>
      <c r="D519" s="296">
        <v>45348</v>
      </c>
      <c r="E519" s="283">
        <f t="shared" ca="1" si="54"/>
        <v>45484.461160069448</v>
      </c>
      <c r="F519" s="297">
        <f t="shared" ca="1" si="53"/>
        <v>3275.0678416667506</v>
      </c>
      <c r="G519" s="288">
        <f t="shared" ca="1" si="52"/>
        <v>136</v>
      </c>
      <c r="H519" s="298" t="s">
        <v>203</v>
      </c>
      <c r="I519" s="299"/>
    </row>
    <row r="520" spans="1:9">
      <c r="A520" s="294">
        <v>45349</v>
      </c>
      <c r="B520" s="292"/>
      <c r="C520" s="295" t="s">
        <v>199</v>
      </c>
      <c r="D520" s="296">
        <v>45349</v>
      </c>
      <c r="E520" s="283">
        <f t="shared" ca="1" si="54"/>
        <v>45484.461160069448</v>
      </c>
      <c r="F520" s="297">
        <f t="shared" ca="1" si="53"/>
        <v>3251.0678416667506</v>
      </c>
      <c r="G520" s="288">
        <f t="shared" ca="1" si="52"/>
        <v>135</v>
      </c>
      <c r="H520" s="298" t="s">
        <v>203</v>
      </c>
      <c r="I520" s="299"/>
    </row>
    <row r="521" spans="1:9">
      <c r="A521" s="294">
        <v>45350</v>
      </c>
      <c r="B521" s="292"/>
      <c r="C521" s="295" t="s">
        <v>199</v>
      </c>
      <c r="D521" s="296">
        <v>45350</v>
      </c>
      <c r="E521" s="283">
        <f t="shared" ca="1" si="54"/>
        <v>45484.461160069448</v>
      </c>
      <c r="F521" s="297">
        <f t="shared" ca="1" si="53"/>
        <v>3227.0678416667506</v>
      </c>
      <c r="G521" s="288">
        <f t="shared" ca="1" si="52"/>
        <v>134</v>
      </c>
      <c r="H521" s="298" t="s">
        <v>203</v>
      </c>
      <c r="I521" s="299"/>
    </row>
    <row r="522" spans="1:9">
      <c r="A522" s="294">
        <v>45351</v>
      </c>
      <c r="B522" s="292"/>
      <c r="C522" s="295" t="s">
        <v>199</v>
      </c>
      <c r="D522" s="296">
        <v>45351</v>
      </c>
      <c r="E522" s="283">
        <f t="shared" ca="1" si="54"/>
        <v>45484.461160069448</v>
      </c>
      <c r="F522" s="297">
        <f t="shared" ca="1" si="53"/>
        <v>3203.0678416667506</v>
      </c>
      <c r="G522" s="288">
        <f t="shared" ca="1" si="52"/>
        <v>133</v>
      </c>
      <c r="H522" s="298" t="s">
        <v>203</v>
      </c>
      <c r="I522" s="299"/>
    </row>
    <row r="523" spans="1:9">
      <c r="A523" s="336" t="s">
        <v>66</v>
      </c>
      <c r="B523" s="317"/>
      <c r="C523" s="295"/>
      <c r="D523" s="296"/>
      <c r="E523" s="283"/>
      <c r="F523" s="297">
        <f ca="1">SUM(F495:F498)</f>
        <v>3774.734230555594</v>
      </c>
      <c r="G523" s="288">
        <f>DATEDIF(D523,E523,"D")</f>
        <v>0</v>
      </c>
      <c r="H523" s="298"/>
      <c r="I523" s="299"/>
    </row>
    <row r="524" spans="1:9">
      <c r="A524" s="291"/>
      <c r="B524" s="292" t="s">
        <v>64</v>
      </c>
      <c r="C524" s="291"/>
      <c r="D524" s="291"/>
      <c r="E524" s="291"/>
      <c r="F524" s="291"/>
      <c r="G524" s="291"/>
      <c r="H524" s="291"/>
      <c r="I524" s="291"/>
    </row>
    <row r="525" spans="1:9">
      <c r="A525" s="294">
        <v>45323</v>
      </c>
      <c r="B525" s="292"/>
      <c r="C525" s="295" t="s">
        <v>199</v>
      </c>
      <c r="D525" s="296">
        <v>45323.000011574077</v>
      </c>
      <c r="E525" s="296">
        <v>45323.999988425923</v>
      </c>
      <c r="F525" s="297">
        <f>(E525-D525)*24</f>
        <v>23.999444444314577</v>
      </c>
      <c r="G525" s="288">
        <f>DATEDIF(D525,E525,"D")</f>
        <v>0</v>
      </c>
      <c r="H525" s="298" t="s">
        <v>203</v>
      </c>
      <c r="I525" s="299" t="s">
        <v>245</v>
      </c>
    </row>
    <row r="526" spans="1:9">
      <c r="A526" s="294">
        <v>45324</v>
      </c>
      <c r="B526" s="292"/>
      <c r="C526" s="295" t="s">
        <v>199</v>
      </c>
      <c r="D526" s="296">
        <v>45324.000011574077</v>
      </c>
      <c r="E526" s="296">
        <v>45324.819456018522</v>
      </c>
      <c r="F526" s="297">
        <f>(E526-D526)*24</f>
        <v>19.666666666686069</v>
      </c>
      <c r="G526" s="288">
        <f t="shared" ref="G526:G553" si="55">DATEDIF(D526,E526,"D")</f>
        <v>0</v>
      </c>
      <c r="H526" s="298" t="s">
        <v>203</v>
      </c>
      <c r="I526" s="299" t="s">
        <v>245</v>
      </c>
    </row>
    <row r="527" spans="1:9">
      <c r="A527" s="294">
        <v>45325</v>
      </c>
      <c r="B527" s="292"/>
      <c r="C527" s="295" t="s">
        <v>199</v>
      </c>
      <c r="D527" s="296">
        <v>45326.000011574077</v>
      </c>
      <c r="E527" s="296">
        <v>45326.000011574077</v>
      </c>
      <c r="F527" s="297">
        <f t="shared" ref="F527:F553" si="56">(E527-D527)*24</f>
        <v>0</v>
      </c>
      <c r="G527" s="288">
        <f t="shared" si="55"/>
        <v>0</v>
      </c>
      <c r="H527" s="298" t="s">
        <v>203</v>
      </c>
      <c r="I527" s="299"/>
    </row>
    <row r="528" spans="1:9">
      <c r="A528" s="294">
        <v>45326</v>
      </c>
      <c r="B528" s="292"/>
      <c r="C528" s="295" t="s">
        <v>199</v>
      </c>
      <c r="D528" s="296">
        <v>45327.000011574077</v>
      </c>
      <c r="E528" s="296">
        <v>45327.000011574077</v>
      </c>
      <c r="F528" s="297">
        <f t="shared" si="56"/>
        <v>0</v>
      </c>
      <c r="G528" s="288">
        <f t="shared" si="55"/>
        <v>0</v>
      </c>
      <c r="H528" s="298" t="s">
        <v>203</v>
      </c>
      <c r="I528" s="299"/>
    </row>
    <row r="529" spans="1:9">
      <c r="A529" s="294">
        <v>45327</v>
      </c>
      <c r="B529" s="292"/>
      <c r="C529" s="295" t="s">
        <v>199</v>
      </c>
      <c r="D529" s="296">
        <v>45328.000011574077</v>
      </c>
      <c r="E529" s="283">
        <f t="shared" ref="E529:E553" ca="1" si="57">NOW()</f>
        <v>45484.461160069448</v>
      </c>
      <c r="F529" s="297">
        <f t="shared" ca="1" si="56"/>
        <v>3755.0675638889079</v>
      </c>
      <c r="G529" s="288">
        <f t="shared" ca="1" si="55"/>
        <v>156</v>
      </c>
      <c r="H529" s="298" t="s">
        <v>203</v>
      </c>
      <c r="I529" s="299"/>
    </row>
    <row r="530" spans="1:9">
      <c r="A530" s="294">
        <v>45328</v>
      </c>
      <c r="B530" s="292"/>
      <c r="C530" s="295" t="s">
        <v>199</v>
      </c>
      <c r="D530" s="296">
        <v>45328</v>
      </c>
      <c r="E530" s="283">
        <f t="shared" ca="1" si="57"/>
        <v>45484.461160069448</v>
      </c>
      <c r="F530" s="297">
        <f t="shared" ca="1" si="56"/>
        <v>3755.0678416667506</v>
      </c>
      <c r="G530" s="288">
        <f t="shared" ca="1" si="55"/>
        <v>156</v>
      </c>
      <c r="H530" s="298" t="s">
        <v>203</v>
      </c>
      <c r="I530" s="299"/>
    </row>
    <row r="531" spans="1:9">
      <c r="A531" s="294">
        <v>45329</v>
      </c>
      <c r="B531" s="292"/>
      <c r="C531" s="295" t="s">
        <v>199</v>
      </c>
      <c r="D531" s="296">
        <v>45329</v>
      </c>
      <c r="E531" s="283">
        <f t="shared" ca="1" si="57"/>
        <v>45484.461160069448</v>
      </c>
      <c r="F531" s="297">
        <f t="shared" ca="1" si="56"/>
        <v>3731.0678416667506</v>
      </c>
      <c r="G531" s="288">
        <f t="shared" ca="1" si="55"/>
        <v>155</v>
      </c>
      <c r="H531" s="298" t="s">
        <v>203</v>
      </c>
      <c r="I531" s="299"/>
    </row>
    <row r="532" spans="1:9">
      <c r="A532" s="294">
        <v>45330</v>
      </c>
      <c r="B532" s="292"/>
      <c r="C532" s="295" t="s">
        <v>199</v>
      </c>
      <c r="D532" s="296">
        <v>45330</v>
      </c>
      <c r="E532" s="283">
        <f t="shared" ca="1" si="57"/>
        <v>45484.461160069448</v>
      </c>
      <c r="F532" s="297">
        <f t="shared" ca="1" si="56"/>
        <v>3707.0678416667506</v>
      </c>
      <c r="G532" s="288">
        <f t="shared" ca="1" si="55"/>
        <v>154</v>
      </c>
      <c r="H532" s="298" t="s">
        <v>203</v>
      </c>
      <c r="I532" s="299"/>
    </row>
    <row r="533" spans="1:9">
      <c r="A533" s="294">
        <v>45331</v>
      </c>
      <c r="B533" s="292"/>
      <c r="C533" s="295" t="s">
        <v>199</v>
      </c>
      <c r="D533" s="296">
        <v>45331</v>
      </c>
      <c r="E533" s="283">
        <f t="shared" ca="1" si="57"/>
        <v>45484.461160069448</v>
      </c>
      <c r="F533" s="297">
        <f t="shared" ca="1" si="56"/>
        <v>3683.0678416667506</v>
      </c>
      <c r="G533" s="288">
        <f t="shared" ca="1" si="55"/>
        <v>153</v>
      </c>
      <c r="H533" s="298" t="s">
        <v>203</v>
      </c>
      <c r="I533" s="299"/>
    </row>
    <row r="534" spans="1:9">
      <c r="A534" s="294">
        <v>45332</v>
      </c>
      <c r="B534" s="292"/>
      <c r="C534" s="295" t="s">
        <v>199</v>
      </c>
      <c r="D534" s="296">
        <v>45332</v>
      </c>
      <c r="E534" s="283">
        <f t="shared" ca="1" si="57"/>
        <v>45484.461160069448</v>
      </c>
      <c r="F534" s="297">
        <f t="shared" ca="1" si="56"/>
        <v>3659.0678416667506</v>
      </c>
      <c r="G534" s="288">
        <f t="shared" ca="1" si="55"/>
        <v>152</v>
      </c>
      <c r="H534" s="298" t="s">
        <v>203</v>
      </c>
      <c r="I534" s="299"/>
    </row>
    <row r="535" spans="1:9">
      <c r="A535" s="294">
        <v>45333</v>
      </c>
      <c r="B535" s="292"/>
      <c r="C535" s="295" t="s">
        <v>199</v>
      </c>
      <c r="D535" s="296">
        <v>45333</v>
      </c>
      <c r="E535" s="283">
        <f t="shared" ca="1" si="57"/>
        <v>45484.461160069448</v>
      </c>
      <c r="F535" s="297">
        <f t="shared" ca="1" si="56"/>
        <v>3635.0678416667506</v>
      </c>
      <c r="G535" s="288">
        <f t="shared" ca="1" si="55"/>
        <v>151</v>
      </c>
      <c r="H535" s="298" t="s">
        <v>203</v>
      </c>
      <c r="I535" s="299"/>
    </row>
    <row r="536" spans="1:9">
      <c r="A536" s="294">
        <v>45334</v>
      </c>
      <c r="B536" s="292"/>
      <c r="C536" s="295" t="s">
        <v>199</v>
      </c>
      <c r="D536" s="296">
        <v>45334</v>
      </c>
      <c r="E536" s="283">
        <f t="shared" ca="1" si="57"/>
        <v>45484.461160069448</v>
      </c>
      <c r="F536" s="297">
        <f t="shared" ca="1" si="56"/>
        <v>3611.0678416667506</v>
      </c>
      <c r="G536" s="288">
        <f t="shared" ca="1" si="55"/>
        <v>150</v>
      </c>
      <c r="H536" s="298" t="s">
        <v>203</v>
      </c>
      <c r="I536" s="299"/>
    </row>
    <row r="537" spans="1:9">
      <c r="A537" s="294">
        <v>45335</v>
      </c>
      <c r="B537" s="292"/>
      <c r="C537" s="295" t="s">
        <v>199</v>
      </c>
      <c r="D537" s="296">
        <v>45335</v>
      </c>
      <c r="E537" s="283">
        <f t="shared" ca="1" si="57"/>
        <v>45484.461160069448</v>
      </c>
      <c r="F537" s="297">
        <f t="shared" ca="1" si="56"/>
        <v>3587.0678416667506</v>
      </c>
      <c r="G537" s="288">
        <f t="shared" ca="1" si="55"/>
        <v>149</v>
      </c>
      <c r="H537" s="298" t="s">
        <v>203</v>
      </c>
      <c r="I537" s="299"/>
    </row>
    <row r="538" spans="1:9">
      <c r="A538" s="294">
        <v>45336</v>
      </c>
      <c r="B538" s="292"/>
      <c r="C538" s="295" t="s">
        <v>199</v>
      </c>
      <c r="D538" s="296">
        <v>45336</v>
      </c>
      <c r="E538" s="283">
        <f t="shared" ca="1" si="57"/>
        <v>45484.461160069448</v>
      </c>
      <c r="F538" s="297">
        <f t="shared" ca="1" si="56"/>
        <v>3563.0678416667506</v>
      </c>
      <c r="G538" s="288">
        <f t="shared" ca="1" si="55"/>
        <v>148</v>
      </c>
      <c r="H538" s="298" t="s">
        <v>203</v>
      </c>
      <c r="I538" s="299"/>
    </row>
    <row r="539" spans="1:9">
      <c r="A539" s="294">
        <v>45337</v>
      </c>
      <c r="B539" s="292"/>
      <c r="C539" s="295" t="s">
        <v>199</v>
      </c>
      <c r="D539" s="296">
        <v>45337</v>
      </c>
      <c r="E539" s="283">
        <f t="shared" ca="1" si="57"/>
        <v>45484.461160069448</v>
      </c>
      <c r="F539" s="297">
        <f t="shared" ca="1" si="56"/>
        <v>3539.0678416667506</v>
      </c>
      <c r="G539" s="288">
        <f t="shared" ca="1" si="55"/>
        <v>147</v>
      </c>
      <c r="H539" s="298" t="s">
        <v>203</v>
      </c>
      <c r="I539" s="299"/>
    </row>
    <row r="540" spans="1:9">
      <c r="A540" s="294">
        <v>45338</v>
      </c>
      <c r="B540" s="292"/>
      <c r="C540" s="295" t="s">
        <v>199</v>
      </c>
      <c r="D540" s="296">
        <v>45338</v>
      </c>
      <c r="E540" s="283">
        <f t="shared" ca="1" si="57"/>
        <v>45484.461160069448</v>
      </c>
      <c r="F540" s="297">
        <f t="shared" ca="1" si="56"/>
        <v>3515.0678416667506</v>
      </c>
      <c r="G540" s="288">
        <f t="shared" ca="1" si="55"/>
        <v>146</v>
      </c>
      <c r="H540" s="298" t="s">
        <v>203</v>
      </c>
      <c r="I540" s="299"/>
    </row>
    <row r="541" spans="1:9">
      <c r="A541" s="294">
        <v>45339</v>
      </c>
      <c r="B541" s="292"/>
      <c r="C541" s="295" t="s">
        <v>199</v>
      </c>
      <c r="D541" s="296">
        <v>45339</v>
      </c>
      <c r="E541" s="283">
        <f t="shared" ca="1" si="57"/>
        <v>45484.461160069448</v>
      </c>
      <c r="F541" s="297">
        <f t="shared" ca="1" si="56"/>
        <v>3491.0678416667506</v>
      </c>
      <c r="G541" s="288">
        <f t="shared" ca="1" si="55"/>
        <v>145</v>
      </c>
      <c r="H541" s="298" t="s">
        <v>203</v>
      </c>
      <c r="I541" s="299"/>
    </row>
    <row r="542" spans="1:9">
      <c r="A542" s="294">
        <v>45340</v>
      </c>
      <c r="B542" s="292"/>
      <c r="C542" s="295" t="s">
        <v>199</v>
      </c>
      <c r="D542" s="296">
        <v>45340</v>
      </c>
      <c r="E542" s="283">
        <f t="shared" ca="1" si="57"/>
        <v>45484.461160069448</v>
      </c>
      <c r="F542" s="297">
        <f t="shared" ca="1" si="56"/>
        <v>3467.0678416667506</v>
      </c>
      <c r="G542" s="288">
        <f t="shared" ca="1" si="55"/>
        <v>144</v>
      </c>
      <c r="H542" s="298" t="s">
        <v>203</v>
      </c>
      <c r="I542" s="299"/>
    </row>
    <row r="543" spans="1:9">
      <c r="A543" s="294">
        <v>45341</v>
      </c>
      <c r="B543" s="292"/>
      <c r="C543" s="295" t="s">
        <v>199</v>
      </c>
      <c r="D543" s="296">
        <v>45341</v>
      </c>
      <c r="E543" s="283">
        <f t="shared" ca="1" si="57"/>
        <v>45484.461160069448</v>
      </c>
      <c r="F543" s="297">
        <f t="shared" ca="1" si="56"/>
        <v>3443.0678416667506</v>
      </c>
      <c r="G543" s="288">
        <f t="shared" ca="1" si="55"/>
        <v>143</v>
      </c>
      <c r="H543" s="298" t="s">
        <v>203</v>
      </c>
      <c r="I543" s="299"/>
    </row>
    <row r="544" spans="1:9">
      <c r="A544" s="294">
        <v>45342</v>
      </c>
      <c r="B544" s="292"/>
      <c r="C544" s="295" t="s">
        <v>199</v>
      </c>
      <c r="D544" s="296">
        <v>45342</v>
      </c>
      <c r="E544" s="283">
        <f t="shared" ca="1" si="57"/>
        <v>45484.461160069448</v>
      </c>
      <c r="F544" s="297">
        <f t="shared" ca="1" si="56"/>
        <v>3419.0678416667506</v>
      </c>
      <c r="G544" s="288">
        <f t="shared" ca="1" si="55"/>
        <v>142</v>
      </c>
      <c r="H544" s="298" t="s">
        <v>203</v>
      </c>
      <c r="I544" s="299"/>
    </row>
    <row r="545" spans="1:9">
      <c r="A545" s="294">
        <v>45343</v>
      </c>
      <c r="B545" s="292"/>
      <c r="C545" s="295" t="s">
        <v>199</v>
      </c>
      <c r="D545" s="296">
        <v>45343</v>
      </c>
      <c r="E545" s="283">
        <f t="shared" ca="1" si="57"/>
        <v>45484.461160069448</v>
      </c>
      <c r="F545" s="297">
        <f t="shared" ca="1" si="56"/>
        <v>3395.0678416667506</v>
      </c>
      <c r="G545" s="288">
        <f t="shared" ca="1" si="55"/>
        <v>141</v>
      </c>
      <c r="H545" s="298" t="s">
        <v>203</v>
      </c>
      <c r="I545" s="299"/>
    </row>
    <row r="546" spans="1:9">
      <c r="A546" s="294">
        <v>45344</v>
      </c>
      <c r="B546" s="292"/>
      <c r="C546" s="295" t="s">
        <v>199</v>
      </c>
      <c r="D546" s="296">
        <v>45344</v>
      </c>
      <c r="E546" s="283">
        <f t="shared" ca="1" si="57"/>
        <v>45484.461160069448</v>
      </c>
      <c r="F546" s="297">
        <f t="shared" ca="1" si="56"/>
        <v>3371.0678416667506</v>
      </c>
      <c r="G546" s="288">
        <f t="shared" ca="1" si="55"/>
        <v>140</v>
      </c>
      <c r="H546" s="298" t="s">
        <v>203</v>
      </c>
      <c r="I546" s="299"/>
    </row>
    <row r="547" spans="1:9">
      <c r="A547" s="294">
        <v>45345</v>
      </c>
      <c r="B547" s="292"/>
      <c r="C547" s="295" t="s">
        <v>199</v>
      </c>
      <c r="D547" s="296">
        <v>45345</v>
      </c>
      <c r="E547" s="283">
        <f t="shared" ca="1" si="57"/>
        <v>45484.461160069448</v>
      </c>
      <c r="F547" s="297">
        <f t="shared" ca="1" si="56"/>
        <v>3347.0678416667506</v>
      </c>
      <c r="G547" s="288">
        <f t="shared" ca="1" si="55"/>
        <v>139</v>
      </c>
      <c r="H547" s="298" t="s">
        <v>203</v>
      </c>
      <c r="I547" s="299"/>
    </row>
    <row r="548" spans="1:9">
      <c r="A548" s="294">
        <v>45346</v>
      </c>
      <c r="B548" s="292"/>
      <c r="C548" s="295" t="s">
        <v>199</v>
      </c>
      <c r="D548" s="296">
        <v>45346</v>
      </c>
      <c r="E548" s="283">
        <f t="shared" ca="1" si="57"/>
        <v>45484.461160069448</v>
      </c>
      <c r="F548" s="297">
        <f t="shared" ca="1" si="56"/>
        <v>3323.0678416667506</v>
      </c>
      <c r="G548" s="288">
        <f t="shared" ca="1" si="55"/>
        <v>138</v>
      </c>
      <c r="H548" s="298" t="s">
        <v>203</v>
      </c>
      <c r="I548" s="299"/>
    </row>
    <row r="549" spans="1:9">
      <c r="A549" s="294">
        <v>45347</v>
      </c>
      <c r="B549" s="292"/>
      <c r="C549" s="295" t="s">
        <v>199</v>
      </c>
      <c r="D549" s="296">
        <v>45347</v>
      </c>
      <c r="E549" s="283">
        <f t="shared" ca="1" si="57"/>
        <v>45484.461160069448</v>
      </c>
      <c r="F549" s="297">
        <f t="shared" ca="1" si="56"/>
        <v>3299.0678416667506</v>
      </c>
      <c r="G549" s="288">
        <f t="shared" ca="1" si="55"/>
        <v>137</v>
      </c>
      <c r="H549" s="298" t="s">
        <v>203</v>
      </c>
      <c r="I549" s="299"/>
    </row>
    <row r="550" spans="1:9">
      <c r="A550" s="294">
        <v>45348</v>
      </c>
      <c r="B550" s="292"/>
      <c r="C550" s="295" t="s">
        <v>199</v>
      </c>
      <c r="D550" s="296">
        <v>45348</v>
      </c>
      <c r="E550" s="283">
        <f t="shared" ca="1" si="57"/>
        <v>45484.461160069448</v>
      </c>
      <c r="F550" s="297">
        <f t="shared" ca="1" si="56"/>
        <v>3275.0678416667506</v>
      </c>
      <c r="G550" s="288">
        <f t="shared" ca="1" si="55"/>
        <v>136</v>
      </c>
      <c r="H550" s="298" t="s">
        <v>203</v>
      </c>
      <c r="I550" s="299"/>
    </row>
    <row r="551" spans="1:9">
      <c r="A551" s="294">
        <v>45349</v>
      </c>
      <c r="B551" s="292"/>
      <c r="C551" s="295" t="s">
        <v>199</v>
      </c>
      <c r="D551" s="296">
        <v>45349</v>
      </c>
      <c r="E551" s="283">
        <f t="shared" ca="1" si="57"/>
        <v>45484.461160069448</v>
      </c>
      <c r="F551" s="297">
        <f t="shared" ca="1" si="56"/>
        <v>3251.0678416667506</v>
      </c>
      <c r="G551" s="288">
        <f t="shared" ca="1" si="55"/>
        <v>135</v>
      </c>
      <c r="H551" s="298" t="s">
        <v>203</v>
      </c>
      <c r="I551" s="299"/>
    </row>
    <row r="552" spans="1:9">
      <c r="A552" s="294">
        <v>45350</v>
      </c>
      <c r="B552" s="292"/>
      <c r="C552" s="295" t="s">
        <v>199</v>
      </c>
      <c r="D552" s="296">
        <v>45350</v>
      </c>
      <c r="E552" s="283">
        <f t="shared" ca="1" si="57"/>
        <v>45484.461160069448</v>
      </c>
      <c r="F552" s="297">
        <f t="shared" ca="1" si="56"/>
        <v>3227.0678416667506</v>
      </c>
      <c r="G552" s="288">
        <f t="shared" ca="1" si="55"/>
        <v>134</v>
      </c>
      <c r="H552" s="298" t="s">
        <v>203</v>
      </c>
      <c r="I552" s="299"/>
    </row>
    <row r="553" spans="1:9">
      <c r="A553" s="294">
        <v>45351</v>
      </c>
      <c r="B553" s="292"/>
      <c r="C553" s="295" t="s">
        <v>199</v>
      </c>
      <c r="D553" s="296">
        <v>45351</v>
      </c>
      <c r="E553" s="283">
        <f t="shared" ca="1" si="57"/>
        <v>45484.461160069448</v>
      </c>
      <c r="F553" s="297">
        <f t="shared" ca="1" si="56"/>
        <v>3203.0678416667506</v>
      </c>
      <c r="G553" s="288">
        <f t="shared" ca="1" si="55"/>
        <v>133</v>
      </c>
      <c r="H553" s="298" t="s">
        <v>203</v>
      </c>
      <c r="I553" s="299"/>
    </row>
    <row r="554" spans="1:9">
      <c r="A554" s="336" t="s">
        <v>66</v>
      </c>
      <c r="B554" s="317"/>
      <c r="C554" s="295"/>
      <c r="D554" s="296"/>
      <c r="E554" s="283"/>
      <c r="F554" s="297">
        <f ca="1">SUM(F526:F529)</f>
        <v>3774.734230555594</v>
      </c>
      <c r="G554" s="288">
        <f>DATEDIF(D554,E554,"D")</f>
        <v>0</v>
      </c>
      <c r="H554" s="298"/>
      <c r="I554" s="299"/>
    </row>
  </sheetData>
  <mergeCells count="6">
    <mergeCell ref="B29:B57"/>
    <mergeCell ref="K1:L1"/>
    <mergeCell ref="F1:G1"/>
    <mergeCell ref="D1:E1"/>
    <mergeCell ref="D27:E27"/>
    <mergeCell ref="F27:G27"/>
  </mergeCells>
  <conditionalFormatting sqref="C3:C20">
    <cfRule type="containsText" dxfId="267" priority="357" operator="containsText" text="NO DELAY">
      <formula>NOT(ISERROR(SEARCH("NO DELAY",C3)))</formula>
    </cfRule>
    <cfRule type="containsText" dxfId="266" priority="359" operator="containsText" text="EXTERNAL">
      <formula>NOT(ISERROR(SEARCH("EXTERNAL",C3)))</formula>
    </cfRule>
    <cfRule type="containsText" dxfId="265" priority="360" operator="containsText" text="INTERNAL">
      <formula>NOT(ISERROR(SEARCH("INTERNAL",C3)))</formula>
    </cfRule>
  </conditionalFormatting>
  <conditionalFormatting sqref="C29:C58">
    <cfRule type="containsText" dxfId="264" priority="345" operator="containsText" text="NO DELAY">
      <formula>NOT(ISERROR(SEARCH("NO DELAY",C29)))</formula>
    </cfRule>
    <cfRule type="containsText" dxfId="263" priority="346" operator="containsText" text="EXTERNAL">
      <formula>NOT(ISERROR(SEARCH("EXTERNAL",C29)))</formula>
    </cfRule>
    <cfRule type="containsText" dxfId="262" priority="347" operator="containsText" text="INTERNAL">
      <formula>NOT(ISERROR(SEARCH("INTERNAL",C29)))</formula>
    </cfRule>
  </conditionalFormatting>
  <conditionalFormatting sqref="C60:C89">
    <cfRule type="containsText" dxfId="261" priority="113" operator="containsText" text="NO DELAY">
      <formula>NOT(ISERROR(SEARCH("NO DELAY",C60)))</formula>
    </cfRule>
    <cfRule type="containsText" dxfId="260" priority="114" operator="containsText" text="EXTERNAL">
      <formula>NOT(ISERROR(SEARCH("EXTERNAL",C60)))</formula>
    </cfRule>
    <cfRule type="containsText" dxfId="259" priority="115" operator="containsText" text="INTERNAL">
      <formula>NOT(ISERROR(SEARCH("INTERNAL",C60)))</formula>
    </cfRule>
  </conditionalFormatting>
  <conditionalFormatting sqref="C91:C120">
    <cfRule type="containsText" dxfId="258" priority="102" operator="containsText" text="NO DELAY">
      <formula>NOT(ISERROR(SEARCH("NO DELAY",C91)))</formula>
    </cfRule>
    <cfRule type="containsText" dxfId="257" priority="103" operator="containsText" text="EXTERNAL">
      <formula>NOT(ISERROR(SEARCH("EXTERNAL",C91)))</formula>
    </cfRule>
    <cfRule type="containsText" dxfId="256" priority="104" operator="containsText" text="INTERNAL">
      <formula>NOT(ISERROR(SEARCH("INTERNAL",C91)))</formula>
    </cfRule>
  </conditionalFormatting>
  <conditionalFormatting sqref="C122:C151">
    <cfRule type="containsText" dxfId="255" priority="95" operator="containsText" text="NO DELAY">
      <formula>NOT(ISERROR(SEARCH("NO DELAY",C122)))</formula>
    </cfRule>
    <cfRule type="containsText" dxfId="254" priority="96" operator="containsText" text="EXTERNAL">
      <formula>NOT(ISERROR(SEARCH("EXTERNAL",C122)))</formula>
    </cfRule>
    <cfRule type="containsText" dxfId="253" priority="97" operator="containsText" text="INTERNAL">
      <formula>NOT(ISERROR(SEARCH("INTERNAL",C122)))</formula>
    </cfRule>
  </conditionalFormatting>
  <conditionalFormatting sqref="C153:C182">
    <cfRule type="containsText" dxfId="252" priority="88" operator="containsText" text="NO DELAY">
      <formula>NOT(ISERROR(SEARCH("NO DELAY",C153)))</formula>
    </cfRule>
    <cfRule type="containsText" dxfId="251" priority="89" operator="containsText" text="EXTERNAL">
      <formula>NOT(ISERROR(SEARCH("EXTERNAL",C153)))</formula>
    </cfRule>
    <cfRule type="containsText" dxfId="250" priority="90" operator="containsText" text="INTERNAL">
      <formula>NOT(ISERROR(SEARCH("INTERNAL",C153)))</formula>
    </cfRule>
  </conditionalFormatting>
  <conditionalFormatting sqref="C184:C213">
    <cfRule type="containsText" dxfId="249" priority="81" operator="containsText" text="NO DELAY">
      <formula>NOT(ISERROR(SEARCH("NO DELAY",C184)))</formula>
    </cfRule>
    <cfRule type="containsText" dxfId="248" priority="82" operator="containsText" text="EXTERNAL">
      <formula>NOT(ISERROR(SEARCH("EXTERNAL",C184)))</formula>
    </cfRule>
    <cfRule type="containsText" dxfId="247" priority="83" operator="containsText" text="INTERNAL">
      <formula>NOT(ISERROR(SEARCH("INTERNAL",C184)))</formula>
    </cfRule>
  </conditionalFormatting>
  <conditionalFormatting sqref="C215:C244">
    <cfRule type="containsText" dxfId="246" priority="74" operator="containsText" text="NO DELAY">
      <formula>NOT(ISERROR(SEARCH("NO DELAY",C215)))</formula>
    </cfRule>
    <cfRule type="containsText" dxfId="245" priority="75" operator="containsText" text="EXTERNAL">
      <formula>NOT(ISERROR(SEARCH("EXTERNAL",C215)))</formula>
    </cfRule>
    <cfRule type="containsText" dxfId="244" priority="76" operator="containsText" text="INTERNAL">
      <formula>NOT(ISERROR(SEARCH("INTERNAL",C215)))</formula>
    </cfRule>
  </conditionalFormatting>
  <conditionalFormatting sqref="C246:C275">
    <cfRule type="containsText" dxfId="243" priority="67" operator="containsText" text="NO DELAY">
      <formula>NOT(ISERROR(SEARCH("NO DELAY",C246)))</formula>
    </cfRule>
    <cfRule type="containsText" dxfId="242" priority="68" operator="containsText" text="EXTERNAL">
      <formula>NOT(ISERROR(SEARCH("EXTERNAL",C246)))</formula>
    </cfRule>
    <cfRule type="containsText" dxfId="241" priority="69" operator="containsText" text="INTERNAL">
      <formula>NOT(ISERROR(SEARCH("INTERNAL",C246)))</formula>
    </cfRule>
  </conditionalFormatting>
  <conditionalFormatting sqref="C277:C306">
    <cfRule type="containsText" dxfId="240" priority="60" operator="containsText" text="NO DELAY">
      <formula>NOT(ISERROR(SEARCH("NO DELAY",C277)))</formula>
    </cfRule>
    <cfRule type="containsText" dxfId="239" priority="61" operator="containsText" text="EXTERNAL">
      <formula>NOT(ISERROR(SEARCH("EXTERNAL",C277)))</formula>
    </cfRule>
    <cfRule type="containsText" dxfId="238" priority="62" operator="containsText" text="INTERNAL">
      <formula>NOT(ISERROR(SEARCH("INTERNAL",C277)))</formula>
    </cfRule>
  </conditionalFormatting>
  <conditionalFormatting sqref="C308:C337">
    <cfRule type="containsText" dxfId="237" priority="53" operator="containsText" text="NO DELAY">
      <formula>NOT(ISERROR(SEARCH("NO DELAY",C308)))</formula>
    </cfRule>
    <cfRule type="containsText" dxfId="236" priority="54" operator="containsText" text="EXTERNAL">
      <formula>NOT(ISERROR(SEARCH("EXTERNAL",C308)))</formula>
    </cfRule>
    <cfRule type="containsText" dxfId="235" priority="55" operator="containsText" text="INTERNAL">
      <formula>NOT(ISERROR(SEARCH("INTERNAL",C308)))</formula>
    </cfRule>
  </conditionalFormatting>
  <conditionalFormatting sqref="C339:C368">
    <cfRule type="containsText" dxfId="234" priority="46" operator="containsText" text="NO DELAY">
      <formula>NOT(ISERROR(SEARCH("NO DELAY",C339)))</formula>
    </cfRule>
    <cfRule type="containsText" dxfId="233" priority="47" operator="containsText" text="EXTERNAL">
      <formula>NOT(ISERROR(SEARCH("EXTERNAL",C339)))</formula>
    </cfRule>
    <cfRule type="containsText" dxfId="232" priority="48" operator="containsText" text="INTERNAL">
      <formula>NOT(ISERROR(SEARCH("INTERNAL",C339)))</formula>
    </cfRule>
  </conditionalFormatting>
  <conditionalFormatting sqref="C370:C399">
    <cfRule type="containsText" dxfId="231" priority="39" operator="containsText" text="NO DELAY">
      <formula>NOT(ISERROR(SEARCH("NO DELAY",C370)))</formula>
    </cfRule>
    <cfRule type="containsText" dxfId="230" priority="40" operator="containsText" text="EXTERNAL">
      <formula>NOT(ISERROR(SEARCH("EXTERNAL",C370)))</formula>
    </cfRule>
    <cfRule type="containsText" dxfId="229" priority="41" operator="containsText" text="INTERNAL">
      <formula>NOT(ISERROR(SEARCH("INTERNAL",C370)))</formula>
    </cfRule>
  </conditionalFormatting>
  <conditionalFormatting sqref="C401:C430">
    <cfRule type="containsText" dxfId="228" priority="32" operator="containsText" text="NO DELAY">
      <formula>NOT(ISERROR(SEARCH("NO DELAY",C401)))</formula>
    </cfRule>
    <cfRule type="containsText" dxfId="227" priority="33" operator="containsText" text="EXTERNAL">
      <formula>NOT(ISERROR(SEARCH("EXTERNAL",C401)))</formula>
    </cfRule>
    <cfRule type="containsText" dxfId="226" priority="34" operator="containsText" text="INTERNAL">
      <formula>NOT(ISERROR(SEARCH("INTERNAL",C401)))</formula>
    </cfRule>
  </conditionalFormatting>
  <conditionalFormatting sqref="C432:C461">
    <cfRule type="containsText" dxfId="225" priority="25" operator="containsText" text="NO DELAY">
      <formula>NOT(ISERROR(SEARCH("NO DELAY",C432)))</formula>
    </cfRule>
    <cfRule type="containsText" dxfId="224" priority="26" operator="containsText" text="EXTERNAL">
      <formula>NOT(ISERROR(SEARCH("EXTERNAL",C432)))</formula>
    </cfRule>
    <cfRule type="containsText" dxfId="223" priority="27" operator="containsText" text="INTERNAL">
      <formula>NOT(ISERROR(SEARCH("INTERNAL",C432)))</formula>
    </cfRule>
  </conditionalFormatting>
  <conditionalFormatting sqref="C463:C492">
    <cfRule type="containsText" dxfId="222" priority="18" operator="containsText" text="NO DELAY">
      <formula>NOT(ISERROR(SEARCH("NO DELAY",C463)))</formula>
    </cfRule>
    <cfRule type="containsText" dxfId="221" priority="19" operator="containsText" text="EXTERNAL">
      <formula>NOT(ISERROR(SEARCH("EXTERNAL",C463)))</formula>
    </cfRule>
    <cfRule type="containsText" dxfId="220" priority="20" operator="containsText" text="INTERNAL">
      <formula>NOT(ISERROR(SEARCH("INTERNAL",C463)))</formula>
    </cfRule>
  </conditionalFormatting>
  <conditionalFormatting sqref="C494:C523">
    <cfRule type="containsText" dxfId="219" priority="11" operator="containsText" text="NO DELAY">
      <formula>NOT(ISERROR(SEARCH("NO DELAY",C494)))</formula>
    </cfRule>
    <cfRule type="containsText" dxfId="218" priority="12" operator="containsText" text="EXTERNAL">
      <formula>NOT(ISERROR(SEARCH("EXTERNAL",C494)))</formula>
    </cfRule>
    <cfRule type="containsText" dxfId="217" priority="13" operator="containsText" text="INTERNAL">
      <formula>NOT(ISERROR(SEARCH("INTERNAL",C494)))</formula>
    </cfRule>
  </conditionalFormatting>
  <conditionalFormatting sqref="C525:C554">
    <cfRule type="containsText" dxfId="216" priority="4" operator="containsText" text="NO DELAY">
      <formula>NOT(ISERROR(SEARCH("NO DELAY",C525)))</formula>
    </cfRule>
    <cfRule type="containsText" dxfId="215" priority="5" operator="containsText" text="EXTERNAL">
      <formula>NOT(ISERROR(SEARCH("EXTERNAL",C525)))</formula>
    </cfRule>
    <cfRule type="containsText" dxfId="214" priority="6" operator="containsText" text="INTERNAL">
      <formula>NOT(ISERROR(SEARCH("INTERNAL",C525)))</formula>
    </cfRule>
  </conditionalFormatting>
  <conditionalFormatting sqref="F3:F19">
    <cfRule type="cellIs" dxfId="213" priority="350" operator="greaterThan">
      <formula>24</formula>
    </cfRule>
  </conditionalFormatting>
  <conditionalFormatting sqref="F3:F20">
    <cfRule type="cellIs" dxfId="212" priority="351" operator="between">
      <formula>7</formula>
      <formula>24</formula>
    </cfRule>
    <cfRule type="cellIs" dxfId="211" priority="352" operator="between">
      <formula>0</formula>
      <formula>6</formula>
    </cfRule>
  </conditionalFormatting>
  <conditionalFormatting sqref="F29:F58">
    <cfRule type="cellIs" dxfId="210" priority="342" operator="greaterThan">
      <formula>24</formula>
    </cfRule>
    <cfRule type="cellIs" dxfId="209" priority="343" operator="between">
      <formula>7</formula>
      <formula>24</formula>
    </cfRule>
    <cfRule type="cellIs" dxfId="208" priority="344" operator="between">
      <formula>0</formula>
      <formula>6</formula>
    </cfRule>
  </conditionalFormatting>
  <conditionalFormatting sqref="F60:F89">
    <cfRule type="cellIs" dxfId="207" priority="110" operator="greaterThan">
      <formula>24</formula>
    </cfRule>
    <cfRule type="cellIs" dxfId="206" priority="111" operator="between">
      <formula>7</formula>
      <formula>24</formula>
    </cfRule>
    <cfRule type="cellIs" dxfId="205" priority="112" operator="between">
      <formula>0</formula>
      <formula>6</formula>
    </cfRule>
  </conditionalFormatting>
  <conditionalFormatting sqref="F91:F120">
    <cfRule type="cellIs" dxfId="204" priority="99" operator="greaterThan">
      <formula>24</formula>
    </cfRule>
    <cfRule type="cellIs" dxfId="203" priority="100" operator="between">
      <formula>7</formula>
      <formula>24</formula>
    </cfRule>
    <cfRule type="cellIs" dxfId="202" priority="101" operator="between">
      <formula>0</formula>
      <formula>6</formula>
    </cfRule>
  </conditionalFormatting>
  <conditionalFormatting sqref="F122:F151">
    <cfRule type="cellIs" dxfId="201" priority="92" operator="greaterThan">
      <formula>24</formula>
    </cfRule>
    <cfRule type="cellIs" dxfId="200" priority="93" operator="between">
      <formula>7</formula>
      <formula>24</formula>
    </cfRule>
    <cfRule type="cellIs" dxfId="199" priority="94" operator="between">
      <formula>0</formula>
      <formula>6</formula>
    </cfRule>
  </conditionalFormatting>
  <conditionalFormatting sqref="F153:F182">
    <cfRule type="cellIs" dxfId="198" priority="85" operator="greaterThan">
      <formula>24</formula>
    </cfRule>
    <cfRule type="cellIs" dxfId="197" priority="86" operator="between">
      <formula>7</formula>
      <formula>24</formula>
    </cfRule>
    <cfRule type="cellIs" dxfId="196" priority="87" operator="between">
      <formula>0</formula>
      <formula>6</formula>
    </cfRule>
  </conditionalFormatting>
  <conditionalFormatting sqref="F184:F213">
    <cfRule type="cellIs" dxfId="195" priority="78" operator="greaterThan">
      <formula>24</formula>
    </cfRule>
    <cfRule type="cellIs" dxfId="194" priority="79" operator="between">
      <formula>7</formula>
      <formula>24</formula>
    </cfRule>
    <cfRule type="cellIs" dxfId="193" priority="80" operator="between">
      <formula>0</formula>
      <formula>6</formula>
    </cfRule>
  </conditionalFormatting>
  <conditionalFormatting sqref="F215:F244">
    <cfRule type="cellIs" dxfId="192" priority="71" operator="greaterThan">
      <formula>24</formula>
    </cfRule>
    <cfRule type="cellIs" dxfId="191" priority="72" operator="between">
      <formula>7</formula>
      <formula>24</formula>
    </cfRule>
    <cfRule type="cellIs" dxfId="190" priority="73" operator="between">
      <formula>0</formula>
      <formula>6</formula>
    </cfRule>
  </conditionalFormatting>
  <conditionalFormatting sqref="F246:F275">
    <cfRule type="cellIs" dxfId="189" priority="64" operator="greaterThan">
      <formula>24</formula>
    </cfRule>
    <cfRule type="cellIs" dxfId="188" priority="65" operator="between">
      <formula>7</formula>
      <formula>24</formula>
    </cfRule>
    <cfRule type="cellIs" dxfId="187" priority="66" operator="between">
      <formula>0</formula>
      <formula>6</formula>
    </cfRule>
  </conditionalFormatting>
  <conditionalFormatting sqref="F277:F306">
    <cfRule type="cellIs" dxfId="186" priority="57" operator="greaterThan">
      <formula>24</formula>
    </cfRule>
    <cfRule type="cellIs" dxfId="185" priority="58" operator="between">
      <formula>7</formula>
      <formula>24</formula>
    </cfRule>
    <cfRule type="cellIs" dxfId="184" priority="59" operator="between">
      <formula>0</formula>
      <formula>6</formula>
    </cfRule>
  </conditionalFormatting>
  <conditionalFormatting sqref="F308:F337">
    <cfRule type="cellIs" dxfId="183" priority="50" operator="greaterThan">
      <formula>24</formula>
    </cfRule>
    <cfRule type="cellIs" dxfId="182" priority="51" operator="between">
      <formula>7</formula>
      <formula>24</formula>
    </cfRule>
    <cfRule type="cellIs" dxfId="181" priority="52" operator="between">
      <formula>0</formula>
      <formula>6</formula>
    </cfRule>
  </conditionalFormatting>
  <conditionalFormatting sqref="F339:F368">
    <cfRule type="cellIs" dxfId="180" priority="43" operator="greaterThan">
      <formula>24</formula>
    </cfRule>
    <cfRule type="cellIs" dxfId="179" priority="44" operator="between">
      <formula>7</formula>
      <formula>24</formula>
    </cfRule>
    <cfRule type="cellIs" dxfId="178" priority="45" operator="between">
      <formula>0</formula>
      <formula>6</formula>
    </cfRule>
  </conditionalFormatting>
  <conditionalFormatting sqref="F370:F399">
    <cfRule type="cellIs" dxfId="177" priority="36" operator="greaterThan">
      <formula>24</formula>
    </cfRule>
    <cfRule type="cellIs" dxfId="176" priority="37" operator="between">
      <formula>7</formula>
      <formula>24</formula>
    </cfRule>
    <cfRule type="cellIs" dxfId="175" priority="38" operator="between">
      <formula>0</formula>
      <formula>6</formula>
    </cfRule>
  </conditionalFormatting>
  <conditionalFormatting sqref="F401:F430">
    <cfRule type="cellIs" dxfId="174" priority="29" operator="greaterThan">
      <formula>24</formula>
    </cfRule>
    <cfRule type="cellIs" dxfId="173" priority="30" operator="between">
      <formula>7</formula>
      <formula>24</formula>
    </cfRule>
    <cfRule type="cellIs" dxfId="172" priority="31" operator="between">
      <formula>0</formula>
      <formula>6</formula>
    </cfRule>
  </conditionalFormatting>
  <conditionalFormatting sqref="F432:F461">
    <cfRule type="cellIs" dxfId="171" priority="22" operator="greaterThan">
      <formula>24</formula>
    </cfRule>
    <cfRule type="cellIs" dxfId="170" priority="23" operator="between">
      <formula>7</formula>
      <formula>24</formula>
    </cfRule>
    <cfRule type="cellIs" dxfId="169" priority="24" operator="between">
      <formula>0</formula>
      <formula>6</formula>
    </cfRule>
  </conditionalFormatting>
  <conditionalFormatting sqref="F463:F492">
    <cfRule type="cellIs" dxfId="168" priority="15" operator="greaterThan">
      <formula>24</formula>
    </cfRule>
    <cfRule type="cellIs" dxfId="167" priority="16" operator="between">
      <formula>7</formula>
      <formula>24</formula>
    </cfRule>
    <cfRule type="cellIs" dxfId="166" priority="17" operator="between">
      <formula>0</formula>
      <formula>6</formula>
    </cfRule>
  </conditionalFormatting>
  <conditionalFormatting sqref="F494:F523">
    <cfRule type="cellIs" dxfId="165" priority="8" operator="greaterThan">
      <formula>24</formula>
    </cfRule>
    <cfRule type="cellIs" dxfId="164" priority="9" operator="between">
      <formula>7</formula>
      <formula>24</formula>
    </cfRule>
    <cfRule type="cellIs" dxfId="163" priority="10" operator="between">
      <formula>0</formula>
      <formula>6</formula>
    </cfRule>
  </conditionalFormatting>
  <conditionalFormatting sqref="F525:F554">
    <cfRule type="cellIs" dxfId="162" priority="1" operator="greaterThan">
      <formula>24</formula>
    </cfRule>
    <cfRule type="cellIs" dxfId="161" priority="2" operator="between">
      <formula>7</formula>
      <formula>24</formula>
    </cfRule>
    <cfRule type="cellIs" dxfId="160" priority="3" operator="between">
      <formula>0</formula>
      <formula>6</formula>
    </cfRule>
  </conditionalFormatting>
  <conditionalFormatting sqref="K3:L19">
    <cfRule type="cellIs" dxfId="159" priority="107" operator="greaterThan">
      <formula>24</formula>
    </cfRule>
    <cfRule type="cellIs" dxfId="158" priority="108" operator="between">
      <formula>7</formula>
      <formula>24</formula>
    </cfRule>
    <cfRule type="cellIs" dxfId="157" priority="109" operator="between">
      <formula>0</formula>
      <formula>6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48" id="{0AF974DD-84E5-4261-8D97-077C9739CB7A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G3:G19</xm:sqref>
        </x14:conditionalFormatting>
        <x14:conditionalFormatting xmlns:xm="http://schemas.microsoft.com/office/excel/2006/main">
          <x14:cfRule type="iconSet" priority="365" id="{71A83338-7441-411C-B2D7-01A4C0E00DD5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G29:G58</xm:sqref>
        </x14:conditionalFormatting>
        <x14:conditionalFormatting xmlns:xm="http://schemas.microsoft.com/office/excel/2006/main">
          <x14:cfRule type="iconSet" priority="340" id="{A7C842A3-E4C9-4EA8-BA4B-FFAEA7AA6BF0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G60:G89</xm:sqref>
        </x14:conditionalFormatting>
        <x14:conditionalFormatting xmlns:xm="http://schemas.microsoft.com/office/excel/2006/main">
          <x14:cfRule type="iconSet" priority="326" id="{4DB3D116-1843-46F1-97EE-0ADE7F28C3D4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G91:G95</xm:sqref>
        </x14:conditionalFormatting>
        <x14:conditionalFormatting xmlns:xm="http://schemas.microsoft.com/office/excel/2006/main">
          <x14:cfRule type="iconSet" priority="319" id="{4575F442-F00F-401F-9460-4B77B1EFB466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G96:G119</xm:sqref>
        </x14:conditionalFormatting>
        <x14:conditionalFormatting xmlns:xm="http://schemas.microsoft.com/office/excel/2006/main">
          <x14:cfRule type="iconSet" priority="105" id="{75A8BA5B-3E68-4D67-9295-CBAD49E3E01F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G120</xm:sqref>
        </x14:conditionalFormatting>
        <x14:conditionalFormatting xmlns:xm="http://schemas.microsoft.com/office/excel/2006/main">
          <x14:cfRule type="iconSet" priority="312" id="{683E90A9-3740-442C-911F-6EE2D0294BC9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G122:G126</xm:sqref>
        </x14:conditionalFormatting>
        <x14:conditionalFormatting xmlns:xm="http://schemas.microsoft.com/office/excel/2006/main">
          <x14:cfRule type="iconSet" priority="305" id="{73CDF6E2-B460-4B1B-A7CE-24BE0361788E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G127:G150</xm:sqref>
        </x14:conditionalFormatting>
        <x14:conditionalFormatting xmlns:xm="http://schemas.microsoft.com/office/excel/2006/main">
          <x14:cfRule type="iconSet" priority="98" id="{92F66207-7A09-4A71-9912-4AB2708F77BF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G151</xm:sqref>
        </x14:conditionalFormatting>
        <x14:conditionalFormatting xmlns:xm="http://schemas.microsoft.com/office/excel/2006/main">
          <x14:cfRule type="iconSet" priority="298" id="{65032B08-9F14-46CB-998B-7DC4DB16502C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G153:G157</xm:sqref>
        </x14:conditionalFormatting>
        <x14:conditionalFormatting xmlns:xm="http://schemas.microsoft.com/office/excel/2006/main">
          <x14:cfRule type="iconSet" priority="291" id="{DE98DE66-C3A0-475B-A79E-40187B05323E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G158:G181</xm:sqref>
        </x14:conditionalFormatting>
        <x14:conditionalFormatting xmlns:xm="http://schemas.microsoft.com/office/excel/2006/main">
          <x14:cfRule type="iconSet" priority="91" id="{4A73D82C-3454-42F4-BEBD-D6878041E3E6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G182</xm:sqref>
        </x14:conditionalFormatting>
        <x14:conditionalFormatting xmlns:xm="http://schemas.microsoft.com/office/excel/2006/main">
          <x14:cfRule type="iconSet" priority="284" id="{A975A03A-DCD5-4F8E-9BF2-EB4826858F29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G184:G188</xm:sqref>
        </x14:conditionalFormatting>
        <x14:conditionalFormatting xmlns:xm="http://schemas.microsoft.com/office/excel/2006/main">
          <x14:cfRule type="iconSet" priority="277" id="{7D7A5F93-78D2-404A-91EA-D5B901FBE876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G189:G212</xm:sqref>
        </x14:conditionalFormatting>
        <x14:conditionalFormatting xmlns:xm="http://schemas.microsoft.com/office/excel/2006/main">
          <x14:cfRule type="iconSet" priority="84" id="{01813548-B683-4B81-88A1-8C10C2DFB4F8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G213</xm:sqref>
        </x14:conditionalFormatting>
        <x14:conditionalFormatting xmlns:xm="http://schemas.microsoft.com/office/excel/2006/main">
          <x14:cfRule type="iconSet" priority="270" id="{BA8CA923-9DBA-48EC-9D51-F5E34F71163C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G215:G219</xm:sqref>
        </x14:conditionalFormatting>
        <x14:conditionalFormatting xmlns:xm="http://schemas.microsoft.com/office/excel/2006/main">
          <x14:cfRule type="iconSet" priority="263" id="{95FDD6C0-F985-4CCB-9EBB-941BC5C27B62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G220:G243</xm:sqref>
        </x14:conditionalFormatting>
        <x14:conditionalFormatting xmlns:xm="http://schemas.microsoft.com/office/excel/2006/main">
          <x14:cfRule type="iconSet" priority="77" id="{EE7FC51D-F80D-4BC1-BF25-B29ADBC1148F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G244</xm:sqref>
        </x14:conditionalFormatting>
        <x14:conditionalFormatting xmlns:xm="http://schemas.microsoft.com/office/excel/2006/main">
          <x14:cfRule type="iconSet" priority="256" id="{E7BE070E-36B6-4919-A5E3-2024DB86627C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G246:G250</xm:sqref>
        </x14:conditionalFormatting>
        <x14:conditionalFormatting xmlns:xm="http://schemas.microsoft.com/office/excel/2006/main">
          <x14:cfRule type="iconSet" priority="249" id="{0FCACB11-9425-4E28-987B-4218697A3579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G251:G274</xm:sqref>
        </x14:conditionalFormatting>
        <x14:conditionalFormatting xmlns:xm="http://schemas.microsoft.com/office/excel/2006/main">
          <x14:cfRule type="iconSet" priority="70" id="{9F723799-6009-408F-88E3-9BD0D6277A88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G275</xm:sqref>
        </x14:conditionalFormatting>
        <x14:conditionalFormatting xmlns:xm="http://schemas.microsoft.com/office/excel/2006/main">
          <x14:cfRule type="iconSet" priority="242" id="{529D3AF8-BDEB-4B91-8493-0D40D7CBD670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G277:G281</xm:sqref>
        </x14:conditionalFormatting>
        <x14:conditionalFormatting xmlns:xm="http://schemas.microsoft.com/office/excel/2006/main">
          <x14:cfRule type="iconSet" priority="235" id="{50942FDE-9964-4706-8C3A-0F5737D35B62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G282:G305</xm:sqref>
        </x14:conditionalFormatting>
        <x14:conditionalFormatting xmlns:xm="http://schemas.microsoft.com/office/excel/2006/main">
          <x14:cfRule type="iconSet" priority="63" id="{2816F61A-1493-4EEE-AFCD-93DDF10C8D01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G306</xm:sqref>
        </x14:conditionalFormatting>
        <x14:conditionalFormatting xmlns:xm="http://schemas.microsoft.com/office/excel/2006/main">
          <x14:cfRule type="iconSet" priority="228" id="{92E2B955-9D32-485E-924A-A1F9C4566A7E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G308:G312</xm:sqref>
        </x14:conditionalFormatting>
        <x14:conditionalFormatting xmlns:xm="http://schemas.microsoft.com/office/excel/2006/main">
          <x14:cfRule type="iconSet" priority="221" id="{9BDC5FA2-D568-40EB-AB02-63D6AD69F234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G313:G336</xm:sqref>
        </x14:conditionalFormatting>
        <x14:conditionalFormatting xmlns:xm="http://schemas.microsoft.com/office/excel/2006/main">
          <x14:cfRule type="iconSet" priority="56" id="{DC00F05F-473F-4732-B0DA-F974AF3C6484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G337</xm:sqref>
        </x14:conditionalFormatting>
        <x14:conditionalFormatting xmlns:xm="http://schemas.microsoft.com/office/excel/2006/main">
          <x14:cfRule type="iconSet" priority="214" id="{D608C6C6-F84A-43B7-A698-6B0F2193F233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G339:G343</xm:sqref>
        </x14:conditionalFormatting>
        <x14:conditionalFormatting xmlns:xm="http://schemas.microsoft.com/office/excel/2006/main">
          <x14:cfRule type="iconSet" priority="207" id="{0D42CC21-84C1-41F1-A097-FB584F9AE43B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G344:G367</xm:sqref>
        </x14:conditionalFormatting>
        <x14:conditionalFormatting xmlns:xm="http://schemas.microsoft.com/office/excel/2006/main">
          <x14:cfRule type="iconSet" priority="49" id="{2E16BE5E-A6A7-4118-BD97-EBE9AD3A519F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G368</xm:sqref>
        </x14:conditionalFormatting>
        <x14:conditionalFormatting xmlns:xm="http://schemas.microsoft.com/office/excel/2006/main">
          <x14:cfRule type="iconSet" priority="200" id="{33FA832F-5FE9-4854-B9CF-9AC39C16CB24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G370:G374</xm:sqref>
        </x14:conditionalFormatting>
        <x14:conditionalFormatting xmlns:xm="http://schemas.microsoft.com/office/excel/2006/main">
          <x14:cfRule type="iconSet" priority="193" id="{A3CD3860-1A97-4167-8524-2B8B3CAC48EB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G375:G398</xm:sqref>
        </x14:conditionalFormatting>
        <x14:conditionalFormatting xmlns:xm="http://schemas.microsoft.com/office/excel/2006/main">
          <x14:cfRule type="iconSet" priority="42" id="{80B9D8B8-9470-45F1-8DC3-6DFD8486A110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G399</xm:sqref>
        </x14:conditionalFormatting>
        <x14:conditionalFormatting xmlns:xm="http://schemas.microsoft.com/office/excel/2006/main">
          <x14:cfRule type="iconSet" priority="186" id="{34E17A6D-588A-443C-97FF-9B507E6C7F76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G401:G405</xm:sqref>
        </x14:conditionalFormatting>
        <x14:conditionalFormatting xmlns:xm="http://schemas.microsoft.com/office/excel/2006/main">
          <x14:cfRule type="iconSet" priority="179" id="{5B7B4F70-DC41-47BD-AD12-8A706EAD4C54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G406:G429</xm:sqref>
        </x14:conditionalFormatting>
        <x14:conditionalFormatting xmlns:xm="http://schemas.microsoft.com/office/excel/2006/main">
          <x14:cfRule type="iconSet" priority="35" id="{B13FA252-7606-4067-9E00-F1B6A0F12951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G430</xm:sqref>
        </x14:conditionalFormatting>
        <x14:conditionalFormatting xmlns:xm="http://schemas.microsoft.com/office/excel/2006/main">
          <x14:cfRule type="iconSet" priority="172" id="{BF95DF9E-A388-4008-B410-BA75471D074C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G432:G436</xm:sqref>
        </x14:conditionalFormatting>
        <x14:conditionalFormatting xmlns:xm="http://schemas.microsoft.com/office/excel/2006/main">
          <x14:cfRule type="iconSet" priority="165" id="{2A22EE94-5C59-419E-9C40-ACA21360D8EF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G437:G460</xm:sqref>
        </x14:conditionalFormatting>
        <x14:conditionalFormatting xmlns:xm="http://schemas.microsoft.com/office/excel/2006/main">
          <x14:cfRule type="iconSet" priority="28" id="{7E8C906C-3BBE-4968-8929-B7911F0B870E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G461</xm:sqref>
        </x14:conditionalFormatting>
        <x14:conditionalFormatting xmlns:xm="http://schemas.microsoft.com/office/excel/2006/main">
          <x14:cfRule type="iconSet" priority="158" id="{6744F192-5CE6-4D64-8420-F5A97294ADF0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G463:G467</xm:sqref>
        </x14:conditionalFormatting>
        <x14:conditionalFormatting xmlns:xm="http://schemas.microsoft.com/office/excel/2006/main">
          <x14:cfRule type="iconSet" priority="151" id="{5C1C44C6-DB5B-421B-9A45-54D1D78DC723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G468:G491</xm:sqref>
        </x14:conditionalFormatting>
        <x14:conditionalFormatting xmlns:xm="http://schemas.microsoft.com/office/excel/2006/main">
          <x14:cfRule type="iconSet" priority="21" id="{007851EF-A7DD-4487-BFC2-098FBAA3F39D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G492</xm:sqref>
        </x14:conditionalFormatting>
        <x14:conditionalFormatting xmlns:xm="http://schemas.microsoft.com/office/excel/2006/main">
          <x14:cfRule type="iconSet" priority="144" id="{1B2DBB56-1A07-4B37-82C6-CC9524B772D3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G494:G498</xm:sqref>
        </x14:conditionalFormatting>
        <x14:conditionalFormatting xmlns:xm="http://schemas.microsoft.com/office/excel/2006/main">
          <x14:cfRule type="iconSet" priority="137" id="{9082AB95-0E65-467F-94E0-96E86733F2EE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G499:G522</xm:sqref>
        </x14:conditionalFormatting>
        <x14:conditionalFormatting xmlns:xm="http://schemas.microsoft.com/office/excel/2006/main">
          <x14:cfRule type="iconSet" priority="14" id="{AF59FBFD-F749-4C1C-A1B5-5B836040A081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G523</xm:sqref>
        </x14:conditionalFormatting>
        <x14:conditionalFormatting xmlns:xm="http://schemas.microsoft.com/office/excel/2006/main">
          <x14:cfRule type="iconSet" priority="130" id="{101F3301-EAC8-4A84-9639-FE49F197A6AE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G525:G529</xm:sqref>
        </x14:conditionalFormatting>
        <x14:conditionalFormatting xmlns:xm="http://schemas.microsoft.com/office/excel/2006/main">
          <x14:cfRule type="iconSet" priority="123" id="{3D62D172-E1E8-44A8-910D-A1E5CE67C5A6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G530:G553</xm:sqref>
        </x14:conditionalFormatting>
        <x14:conditionalFormatting xmlns:xm="http://schemas.microsoft.com/office/excel/2006/main">
          <x14:cfRule type="iconSet" priority="7" id="{39299F04-BFD6-416D-A24F-3A2A48607386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G554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allowBlank="1" showInputMessage="1" showErrorMessage="1" errorTitle="SELECT FROM LIST" error="WRONG INPUT" xr:uid="{D411BA16-094C-473D-B5F9-839DCA95DEF8}">
          <x14:formula1>
            <xm:f>Sheet2!$A$2:$A$14</xm:f>
          </x14:formula1>
          <xm:sqref>C20</xm:sqref>
        </x14:dataValidation>
        <x14:dataValidation type="list" errorStyle="information" allowBlank="1" showInputMessage="1" showErrorMessage="1" errorTitle="SELECT FROM LIST" error="WRONG INPUT" xr:uid="{E7D0C822-2D79-4301-BD3D-540AA30EAE2E}">
          <x14:formula1>
            <xm:f>Sheet2!$A$2:$A$15</xm:f>
          </x14:formula1>
          <xm:sqref>C3:C19 C60:C89 C525:C554 C29:C58 C494:C523 C91:C120 C153:C182 C184:C213 C215:C244 C246:C275 C277:C306 C308:C337 C339:C368 C370:C399 C401:C430 C432:C461 C463:C492 C122:C151</xm:sqref>
        </x14:dataValidation>
        <x14:dataValidation type="list" allowBlank="1" showInputMessage="1" showErrorMessage="1" xr:uid="{0899132C-DC2E-44B6-8196-B7C90D9EF4AF}">
          <x14:formula1>
            <xm:f>Sheet2!$C$2:$C$6</xm:f>
          </x14:formula1>
          <xm:sqref>H3:H19 H495:H523 H526:H554 H58 H89 H103:H120 H154:H182 H185:H213 H216:H244 H247:H275 H278:H306 H309:H337 H340:H368 H371:H399 H402:H430 H433:H461 H464:H492 H62:H70 H151</xm:sqref>
        </x14:dataValidation>
        <x14:dataValidation type="list" allowBlank="1" showInputMessage="1" showErrorMessage="1" xr:uid="{DAF9D205-4E99-4F17-AAC5-154BC8254F7D}">
          <x14:formula1>
            <xm:f>Sheet2!$C$2:$C$7</xm:f>
          </x14:formula1>
          <xm:sqref>H525 H60:H61 H91:H102 H71:H88 H153 H184 H215 H246 H277 H308 H339 H370 H401 H432 H463 H494 H29:H57 H122:H150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02F2-5483-48F3-AC24-8AF985F08B7D}">
  <dimension ref="A1:C15"/>
  <sheetViews>
    <sheetView workbookViewId="0">
      <selection activeCell="C8" sqref="C8"/>
    </sheetView>
  </sheetViews>
  <sheetFormatPr defaultRowHeight="14.5"/>
  <cols>
    <col min="1" max="1" width="30.90625" bestFit="1" customWidth="1"/>
    <col min="3" max="3" width="12.90625" bestFit="1" customWidth="1"/>
  </cols>
  <sheetData>
    <row r="1" spans="1:3">
      <c r="A1" s="261" t="s">
        <v>173</v>
      </c>
      <c r="C1" t="s">
        <v>196</v>
      </c>
    </row>
    <row r="2" spans="1:3">
      <c r="A2" s="205" t="s">
        <v>186</v>
      </c>
      <c r="C2" t="s">
        <v>174</v>
      </c>
    </row>
    <row r="3" spans="1:3">
      <c r="A3" s="205" t="s">
        <v>187</v>
      </c>
      <c r="C3" t="s">
        <v>182</v>
      </c>
    </row>
    <row r="4" spans="1:3">
      <c r="A4" s="205" t="s">
        <v>188</v>
      </c>
      <c r="C4" t="s">
        <v>203</v>
      </c>
    </row>
    <row r="5" spans="1:3">
      <c r="A5" s="205" t="s">
        <v>202</v>
      </c>
      <c r="C5" t="s">
        <v>183</v>
      </c>
    </row>
    <row r="6" spans="1:3">
      <c r="A6" s="205" t="s">
        <v>189</v>
      </c>
      <c r="C6" t="s">
        <v>184</v>
      </c>
    </row>
    <row r="7" spans="1:3">
      <c r="A7" s="205" t="s">
        <v>191</v>
      </c>
      <c r="C7" t="s">
        <v>199</v>
      </c>
    </row>
    <row r="8" spans="1:3">
      <c r="A8" s="205" t="s">
        <v>190</v>
      </c>
    </row>
    <row r="9" spans="1:3">
      <c r="A9" s="205" t="s">
        <v>192</v>
      </c>
    </row>
    <row r="10" spans="1:3">
      <c r="A10" s="205" t="s">
        <v>193</v>
      </c>
    </row>
    <row r="11" spans="1:3">
      <c r="A11" s="205" t="s">
        <v>194</v>
      </c>
    </row>
    <row r="12" spans="1:3">
      <c r="A12" s="205" t="s">
        <v>198</v>
      </c>
    </row>
    <row r="13" spans="1:3">
      <c r="A13" s="205" t="s">
        <v>195</v>
      </c>
    </row>
    <row r="14" spans="1:3">
      <c r="A14" s="262" t="s">
        <v>199</v>
      </c>
    </row>
    <row r="15" spans="1:3">
      <c r="A15" s="262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ED4B-B933-40BE-BDD2-D03134822AD2}">
  <dimension ref="A1:AM28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.5"/>
  <cols>
    <col min="1" max="1" width="2.81640625" bestFit="1" customWidth="1"/>
    <col min="2" max="2" width="15.7265625" bestFit="1" customWidth="1"/>
    <col min="3" max="3" width="34" bestFit="1" customWidth="1"/>
    <col min="4" max="34" width="7.90625" bestFit="1" customWidth="1"/>
    <col min="35" max="35" width="10.26953125" bestFit="1" customWidth="1"/>
    <col min="36" max="36" width="19.54296875" bestFit="1" customWidth="1"/>
    <col min="37" max="37" width="21.54296875" bestFit="1" customWidth="1"/>
    <col min="38" max="38" width="14.81640625" bestFit="1" customWidth="1"/>
    <col min="39" max="39" width="19.54296875" bestFit="1" customWidth="1"/>
  </cols>
  <sheetData>
    <row r="1" spans="1:39" ht="35.25" customHeight="1">
      <c r="C1" s="127" t="s">
        <v>144</v>
      </c>
      <c r="D1" s="365" t="s">
        <v>76</v>
      </c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157"/>
    </row>
    <row r="2" spans="1:39" ht="75.5" customHeight="1">
      <c r="B2" s="318" t="s">
        <v>4</v>
      </c>
      <c r="C2" s="62" t="s">
        <v>5</v>
      </c>
      <c r="D2" s="342" t="s">
        <v>418</v>
      </c>
      <c r="E2" s="342" t="s">
        <v>419</v>
      </c>
      <c r="F2" s="342" t="s">
        <v>420</v>
      </c>
      <c r="G2" s="342" t="s">
        <v>421</v>
      </c>
      <c r="H2" s="342" t="s">
        <v>422</v>
      </c>
      <c r="I2" s="342" t="s">
        <v>423</v>
      </c>
      <c r="J2" s="342" t="s">
        <v>424</v>
      </c>
      <c r="K2" s="342" t="s">
        <v>425</v>
      </c>
      <c r="L2" s="342" t="s">
        <v>426</v>
      </c>
      <c r="M2" s="342" t="s">
        <v>427</v>
      </c>
      <c r="N2" s="342" t="s">
        <v>428</v>
      </c>
      <c r="O2" s="342" t="s">
        <v>429</v>
      </c>
      <c r="P2" s="342" t="s">
        <v>430</v>
      </c>
      <c r="Q2" s="342" t="s">
        <v>431</v>
      </c>
      <c r="R2" s="342" t="s">
        <v>432</v>
      </c>
      <c r="S2" s="342" t="s">
        <v>433</v>
      </c>
      <c r="T2" s="342" t="s">
        <v>434</v>
      </c>
      <c r="U2" s="342" t="s">
        <v>435</v>
      </c>
      <c r="V2" s="342" t="s">
        <v>436</v>
      </c>
      <c r="W2" s="342" t="s">
        <v>437</v>
      </c>
      <c r="X2" s="342" t="s">
        <v>438</v>
      </c>
      <c r="Y2" s="342" t="s">
        <v>439</v>
      </c>
      <c r="Z2" s="342" t="s">
        <v>440</v>
      </c>
      <c r="AA2" s="342" t="s">
        <v>441</v>
      </c>
      <c r="AB2" s="342" t="s">
        <v>442</v>
      </c>
      <c r="AC2" s="342" t="s">
        <v>443</v>
      </c>
      <c r="AD2" s="342" t="s">
        <v>444</v>
      </c>
      <c r="AE2" s="342" t="s">
        <v>445</v>
      </c>
      <c r="AF2" s="342" t="s">
        <v>446</v>
      </c>
      <c r="AG2" s="342" t="s">
        <v>447</v>
      </c>
      <c r="AH2" s="342" t="s">
        <v>448</v>
      </c>
      <c r="AI2" s="320" t="s">
        <v>79</v>
      </c>
      <c r="AJ2" s="321" t="s">
        <v>18</v>
      </c>
      <c r="AK2" s="322" t="s">
        <v>77</v>
      </c>
      <c r="AL2" s="323" t="s">
        <v>20</v>
      </c>
      <c r="AM2" s="324" t="s">
        <v>78</v>
      </c>
    </row>
    <row r="3" spans="1:39" ht="20">
      <c r="A3" s="326">
        <v>1</v>
      </c>
      <c r="B3" s="109" t="s">
        <v>26</v>
      </c>
      <c r="C3" s="98"/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03">
        <v>0</v>
      </c>
      <c r="AI3" s="110">
        <f>AVERAGE(D3:AG3)</f>
        <v>0</v>
      </c>
      <c r="AJ3" s="111">
        <v>10000</v>
      </c>
      <c r="AK3" s="111">
        <f>SUM(D3:AH3)</f>
        <v>0</v>
      </c>
      <c r="AL3" s="112">
        <f>AK3/AJ3</f>
        <v>0</v>
      </c>
      <c r="AM3" s="113">
        <f>AJ3-AK3</f>
        <v>10000</v>
      </c>
    </row>
    <row r="4" spans="1:39" ht="20">
      <c r="A4" s="326">
        <v>2</v>
      </c>
      <c r="B4" s="109" t="s">
        <v>30</v>
      </c>
      <c r="C4" s="98"/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03">
        <v>0</v>
      </c>
      <c r="AI4" s="110">
        <f>AVERAGE(D4:AG4)</f>
        <v>0</v>
      </c>
      <c r="AJ4" s="111">
        <v>10000</v>
      </c>
      <c r="AK4" s="111">
        <f>SUM(D4:AH4)</f>
        <v>0</v>
      </c>
      <c r="AL4" s="112">
        <f>AK4/AJ4</f>
        <v>0</v>
      </c>
      <c r="AM4" s="113">
        <f>AJ4-AK4</f>
        <v>10000</v>
      </c>
    </row>
    <row r="5" spans="1:39" ht="20">
      <c r="A5" s="326">
        <v>3</v>
      </c>
      <c r="B5" s="109" t="s">
        <v>32</v>
      </c>
      <c r="C5" s="98"/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03">
        <v>0</v>
      </c>
      <c r="AI5" s="110">
        <f>AVERAGE(D5:AG5)</f>
        <v>0</v>
      </c>
      <c r="AJ5" s="111">
        <v>10000</v>
      </c>
      <c r="AK5" s="111">
        <f>SUM(D5:AH5)</f>
        <v>0</v>
      </c>
      <c r="AL5" s="112">
        <f>AK5/AJ5</f>
        <v>0</v>
      </c>
      <c r="AM5" s="113">
        <f>AJ5-AK5</f>
        <v>10000</v>
      </c>
    </row>
    <row r="6" spans="1:39" ht="20">
      <c r="A6" s="326">
        <v>4</v>
      </c>
      <c r="B6" s="99" t="s">
        <v>33</v>
      </c>
      <c r="C6" s="98" t="s">
        <v>34</v>
      </c>
      <c r="D6" s="103">
        <v>0</v>
      </c>
      <c r="E6" s="103">
        <v>0</v>
      </c>
      <c r="F6" s="103">
        <v>0</v>
      </c>
      <c r="G6" s="103">
        <v>0</v>
      </c>
      <c r="H6" s="103">
        <v>0</v>
      </c>
      <c r="I6" s="103">
        <v>0</v>
      </c>
      <c r="J6" s="103">
        <v>0</v>
      </c>
      <c r="K6" s="103">
        <v>0</v>
      </c>
      <c r="L6" s="103">
        <v>0</v>
      </c>
      <c r="M6" s="103">
        <v>0</v>
      </c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10">
        <f>AVERAGE(D6:AG6)</f>
        <v>0</v>
      </c>
      <c r="AJ6" s="111">
        <v>10000</v>
      </c>
      <c r="AK6" s="111">
        <f>SUM(D6:AH6)</f>
        <v>0</v>
      </c>
      <c r="AL6" s="112">
        <f>AK6/AJ6</f>
        <v>0</v>
      </c>
      <c r="AM6" s="113">
        <f>AJ6-AK6</f>
        <v>10000</v>
      </c>
    </row>
    <row r="7" spans="1:39" ht="20.5" customHeight="1">
      <c r="A7" s="326">
        <v>5</v>
      </c>
      <c r="B7" s="99" t="s">
        <v>35</v>
      </c>
      <c r="C7" s="98" t="s">
        <v>36</v>
      </c>
      <c r="D7" s="103">
        <v>281</v>
      </c>
      <c r="E7" s="103">
        <v>186</v>
      </c>
      <c r="F7" s="103">
        <v>0</v>
      </c>
      <c r="G7" s="103">
        <v>0</v>
      </c>
      <c r="H7" s="103">
        <v>196</v>
      </c>
      <c r="I7" s="103">
        <v>258</v>
      </c>
      <c r="J7" s="103">
        <v>206</v>
      </c>
      <c r="K7" s="103">
        <v>0</v>
      </c>
      <c r="L7" s="103">
        <v>277</v>
      </c>
      <c r="M7" s="103">
        <v>293</v>
      </c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10">
        <f>AVERAGE(D7:AG7)</f>
        <v>169.7</v>
      </c>
      <c r="AJ7" s="111">
        <v>10000</v>
      </c>
      <c r="AK7" s="111">
        <f>SUM(D7:AH7)</f>
        <v>1697</v>
      </c>
      <c r="AL7" s="112">
        <f>AK7/AJ7</f>
        <v>0.16969999999999999</v>
      </c>
      <c r="AM7" s="113">
        <f>AJ7-AK7</f>
        <v>8303</v>
      </c>
    </row>
    <row r="8" spans="1:39" ht="20">
      <c r="A8" s="326">
        <v>6</v>
      </c>
      <c r="B8" s="99" t="s">
        <v>37</v>
      </c>
      <c r="C8" s="98" t="s">
        <v>405</v>
      </c>
      <c r="D8" s="103">
        <v>190</v>
      </c>
      <c r="E8" s="103">
        <v>420</v>
      </c>
      <c r="F8" s="103">
        <v>48</v>
      </c>
      <c r="G8" s="103">
        <v>1</v>
      </c>
      <c r="H8" s="103">
        <v>194</v>
      </c>
      <c r="I8" s="103">
        <v>256</v>
      </c>
      <c r="J8" s="103">
        <v>265</v>
      </c>
      <c r="K8" s="103">
        <v>203</v>
      </c>
      <c r="L8" s="103">
        <v>0</v>
      </c>
      <c r="M8" s="103">
        <v>1</v>
      </c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10">
        <f>AVERAGE(D8:AG8)</f>
        <v>157.80000000000001</v>
      </c>
      <c r="AJ8" s="111">
        <v>10000</v>
      </c>
      <c r="AK8" s="111">
        <f>SUM(D8:AH8)</f>
        <v>1578</v>
      </c>
      <c r="AL8" s="112">
        <f>AK8/AJ8</f>
        <v>0.1578</v>
      </c>
      <c r="AM8" s="113">
        <f>AJ8-AK8</f>
        <v>8422</v>
      </c>
    </row>
    <row r="9" spans="1:39" ht="20">
      <c r="A9" s="326">
        <v>7</v>
      </c>
      <c r="B9" s="99" t="s">
        <v>38</v>
      </c>
      <c r="C9" s="98" t="s">
        <v>39</v>
      </c>
      <c r="D9" s="103">
        <v>0</v>
      </c>
      <c r="E9" s="103">
        <v>0</v>
      </c>
      <c r="F9" s="103">
        <v>300</v>
      </c>
      <c r="G9" s="103">
        <v>112</v>
      </c>
      <c r="H9" s="103">
        <v>265</v>
      </c>
      <c r="I9" s="103">
        <v>3</v>
      </c>
      <c r="J9" s="103">
        <v>388</v>
      </c>
      <c r="K9" s="103">
        <v>307</v>
      </c>
      <c r="L9" s="103">
        <v>0</v>
      </c>
      <c r="M9" s="103">
        <v>10</v>
      </c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10">
        <f>AVERAGE(D9:AG9)</f>
        <v>138.5</v>
      </c>
      <c r="AJ9" s="111">
        <v>10000</v>
      </c>
      <c r="AK9" s="111">
        <f>SUM(D9:AH9)</f>
        <v>1385</v>
      </c>
      <c r="AL9" s="112">
        <f>AK9/AJ9</f>
        <v>0.13850000000000001</v>
      </c>
      <c r="AM9" s="113">
        <f>AJ9-AK9</f>
        <v>8615</v>
      </c>
    </row>
    <row r="10" spans="1:39" ht="20">
      <c r="A10" s="326">
        <v>8</v>
      </c>
      <c r="B10" s="200" t="s">
        <v>40</v>
      </c>
      <c r="C10" s="98" t="s">
        <v>160</v>
      </c>
      <c r="D10" s="103">
        <v>132</v>
      </c>
      <c r="E10" s="103">
        <v>190</v>
      </c>
      <c r="F10" s="103">
        <v>126</v>
      </c>
      <c r="G10" s="103">
        <v>0</v>
      </c>
      <c r="H10" s="103">
        <v>91</v>
      </c>
      <c r="I10" s="103">
        <v>322</v>
      </c>
      <c r="J10" s="103">
        <v>233</v>
      </c>
      <c r="K10" s="103">
        <v>226</v>
      </c>
      <c r="L10" s="103">
        <v>321</v>
      </c>
      <c r="M10" s="103">
        <v>0</v>
      </c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10">
        <f>AVERAGE(D10:AG10)</f>
        <v>164.1</v>
      </c>
      <c r="AJ10" s="111">
        <v>10000</v>
      </c>
      <c r="AK10" s="111">
        <f>SUM(D10:AH10)</f>
        <v>1641</v>
      </c>
      <c r="AL10" s="112">
        <f>AK10/AJ10</f>
        <v>0.1641</v>
      </c>
      <c r="AM10" s="201">
        <f>AJ10-AK10</f>
        <v>8359</v>
      </c>
    </row>
    <row r="11" spans="1:39" ht="20">
      <c r="A11" s="326">
        <v>9</v>
      </c>
      <c r="B11" s="200" t="s">
        <v>41</v>
      </c>
      <c r="C11" s="98" t="s">
        <v>42</v>
      </c>
      <c r="D11" s="103">
        <v>3</v>
      </c>
      <c r="E11" s="103">
        <v>132</v>
      </c>
      <c r="F11" s="103">
        <v>210</v>
      </c>
      <c r="G11" s="103">
        <v>2</v>
      </c>
      <c r="H11" s="103">
        <v>10</v>
      </c>
      <c r="I11" s="103">
        <v>5</v>
      </c>
      <c r="J11" s="103">
        <v>6</v>
      </c>
      <c r="K11" s="103">
        <v>316</v>
      </c>
      <c r="L11" s="103">
        <v>13</v>
      </c>
      <c r="M11" s="103">
        <v>228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10">
        <f>AVERAGE(D11:AG11)</f>
        <v>92.5</v>
      </c>
      <c r="AJ11" s="111">
        <v>10000</v>
      </c>
      <c r="AK11" s="111">
        <f>SUM(D11:AH11)</f>
        <v>925</v>
      </c>
      <c r="AL11" s="112">
        <f>AK11/AJ11</f>
        <v>9.2499999999999999E-2</v>
      </c>
      <c r="AM11" s="201">
        <v>3334</v>
      </c>
    </row>
    <row r="12" spans="1:39" ht="20">
      <c r="A12" s="326">
        <v>10</v>
      </c>
      <c r="B12" s="99" t="s">
        <v>43</v>
      </c>
      <c r="C12" s="98" t="s">
        <v>164</v>
      </c>
      <c r="D12" s="103">
        <v>1</v>
      </c>
      <c r="E12" s="103">
        <v>1</v>
      </c>
      <c r="F12" s="103">
        <v>202</v>
      </c>
      <c r="G12" s="103">
        <v>339</v>
      </c>
      <c r="H12" s="103">
        <v>258</v>
      </c>
      <c r="I12" s="103">
        <v>395</v>
      </c>
      <c r="J12" s="103">
        <v>172</v>
      </c>
      <c r="K12" s="103">
        <v>1</v>
      </c>
      <c r="L12" s="103">
        <v>0</v>
      </c>
      <c r="M12" s="103">
        <v>101</v>
      </c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10">
        <f>AVERAGE(D12:AG12)</f>
        <v>147</v>
      </c>
      <c r="AJ12" s="111">
        <v>10000</v>
      </c>
      <c r="AK12" s="111">
        <f>SUM(D12:AH12)</f>
        <v>1470</v>
      </c>
      <c r="AL12" s="112">
        <f>AK12/AJ12</f>
        <v>0.14699999999999999</v>
      </c>
      <c r="AM12" s="113">
        <f>AJ12-AK12</f>
        <v>8530</v>
      </c>
    </row>
    <row r="13" spans="1:39" ht="20">
      <c r="A13" s="326">
        <v>11</v>
      </c>
      <c r="B13" s="99" t="s">
        <v>45</v>
      </c>
      <c r="C13" s="98" t="s">
        <v>46</v>
      </c>
      <c r="D13" s="103">
        <v>0</v>
      </c>
      <c r="E13" s="103">
        <v>0</v>
      </c>
      <c r="F13" s="103">
        <v>302</v>
      </c>
      <c r="G13" s="103">
        <v>154</v>
      </c>
      <c r="H13" s="103">
        <v>516</v>
      </c>
      <c r="I13" s="103">
        <v>399</v>
      </c>
      <c r="J13" s="103">
        <v>3</v>
      </c>
      <c r="K13" s="103">
        <v>1</v>
      </c>
      <c r="L13" s="103">
        <v>1</v>
      </c>
      <c r="M13" s="103">
        <v>305</v>
      </c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10">
        <f>AVERAGE(D13:AG13)</f>
        <v>168.1</v>
      </c>
      <c r="AJ13" s="111">
        <v>10000</v>
      </c>
      <c r="AK13" s="111">
        <f>SUM(D13:AH13)</f>
        <v>1681</v>
      </c>
      <c r="AL13" s="112">
        <f>AK13/AJ13</f>
        <v>0.1681</v>
      </c>
      <c r="AM13" s="113">
        <f>AJ13-AK13</f>
        <v>8319</v>
      </c>
    </row>
    <row r="14" spans="1:39" ht="20">
      <c r="A14" s="326">
        <v>12</v>
      </c>
      <c r="B14" s="99" t="s">
        <v>47</v>
      </c>
      <c r="C14" s="98" t="s">
        <v>48</v>
      </c>
      <c r="D14" s="103">
        <v>0</v>
      </c>
      <c r="E14" s="103">
        <v>0</v>
      </c>
      <c r="F14" s="103">
        <v>89</v>
      </c>
      <c r="G14" s="103">
        <v>201</v>
      </c>
      <c r="H14" s="103">
        <v>217</v>
      </c>
      <c r="I14" s="103">
        <v>176</v>
      </c>
      <c r="J14" s="103">
        <v>279</v>
      </c>
      <c r="K14" s="103">
        <v>407</v>
      </c>
      <c r="L14" s="103">
        <v>0</v>
      </c>
      <c r="M14" s="103">
        <v>0</v>
      </c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10">
        <f>AVERAGE(D14:AG14)</f>
        <v>136.9</v>
      </c>
      <c r="AJ14" s="111">
        <v>10000</v>
      </c>
      <c r="AK14" s="111">
        <f>SUM(D14:AH14)</f>
        <v>1369</v>
      </c>
      <c r="AL14" s="112">
        <f>AK14/AJ14</f>
        <v>0.13689999999999999</v>
      </c>
      <c r="AM14" s="113">
        <f>AJ14-AK14</f>
        <v>8631</v>
      </c>
    </row>
    <row r="15" spans="1:39" ht="20">
      <c r="A15" s="326">
        <v>13</v>
      </c>
      <c r="B15" s="99" t="s">
        <v>49</v>
      </c>
      <c r="C15" s="98" t="s">
        <v>50</v>
      </c>
      <c r="D15" s="103">
        <v>150</v>
      </c>
      <c r="E15" s="103">
        <v>4</v>
      </c>
      <c r="F15" s="103">
        <v>364</v>
      </c>
      <c r="G15" s="103">
        <v>226</v>
      </c>
      <c r="H15" s="103">
        <v>39</v>
      </c>
      <c r="I15" s="103">
        <v>234</v>
      </c>
      <c r="J15" s="103">
        <v>245</v>
      </c>
      <c r="K15" s="103">
        <v>107</v>
      </c>
      <c r="L15" s="103">
        <v>1</v>
      </c>
      <c r="M15" s="103">
        <v>1</v>
      </c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10">
        <f>AVERAGE(D15:AG15)</f>
        <v>137.1</v>
      </c>
      <c r="AJ15" s="111">
        <v>10000</v>
      </c>
      <c r="AK15" s="111">
        <f>SUM(D15:AH15)</f>
        <v>1371</v>
      </c>
      <c r="AL15" s="112">
        <f>AK15/AJ15</f>
        <v>0.1371</v>
      </c>
      <c r="AM15" s="113">
        <f>AJ15-AK15</f>
        <v>8629</v>
      </c>
    </row>
    <row r="16" spans="1:39" ht="20">
      <c r="A16" s="326">
        <v>14</v>
      </c>
      <c r="B16" s="99" t="s">
        <v>51</v>
      </c>
      <c r="C16" s="98" t="s">
        <v>165</v>
      </c>
      <c r="D16" s="103">
        <v>1</v>
      </c>
      <c r="E16" s="103">
        <v>210</v>
      </c>
      <c r="F16" s="103">
        <v>240</v>
      </c>
      <c r="G16" s="103">
        <v>165</v>
      </c>
      <c r="H16" s="103">
        <v>282</v>
      </c>
      <c r="I16" s="103">
        <v>137</v>
      </c>
      <c r="J16" s="103">
        <v>179</v>
      </c>
      <c r="K16" s="103">
        <v>146</v>
      </c>
      <c r="L16" s="103">
        <v>12</v>
      </c>
      <c r="M16" s="103">
        <v>3</v>
      </c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10">
        <f>AVERAGE(D16:AG16)</f>
        <v>137.5</v>
      </c>
      <c r="AJ16" s="111">
        <v>10000</v>
      </c>
      <c r="AK16" s="111">
        <f>SUM(D16:AH16)</f>
        <v>1375</v>
      </c>
      <c r="AL16" s="112">
        <f>AK16/AJ16</f>
        <v>0.13750000000000001</v>
      </c>
      <c r="AM16" s="113">
        <f>AJ16-AK16</f>
        <v>8625</v>
      </c>
    </row>
    <row r="17" spans="1:39" ht="20">
      <c r="A17" s="326">
        <v>15</v>
      </c>
      <c r="B17" s="109" t="s">
        <v>53</v>
      </c>
      <c r="C17" s="98" t="s">
        <v>322</v>
      </c>
      <c r="D17" s="103">
        <v>1</v>
      </c>
      <c r="E17" s="103">
        <v>1</v>
      </c>
      <c r="F17" s="103">
        <v>258</v>
      </c>
      <c r="G17" s="103">
        <v>198</v>
      </c>
      <c r="H17" s="103">
        <v>276</v>
      </c>
      <c r="I17" s="103">
        <v>287</v>
      </c>
      <c r="J17" s="103">
        <v>356</v>
      </c>
      <c r="K17" s="103">
        <v>11</v>
      </c>
      <c r="L17" s="103">
        <v>2</v>
      </c>
      <c r="M17" s="103">
        <v>1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10">
        <f>AVERAGE(D17:AG17)</f>
        <v>139.1</v>
      </c>
      <c r="AJ17" s="111">
        <v>10000</v>
      </c>
      <c r="AK17" s="111">
        <f>SUM(D17:AH17)</f>
        <v>1391</v>
      </c>
      <c r="AL17" s="112">
        <f>AK17/AJ17</f>
        <v>0.1391</v>
      </c>
      <c r="AM17" s="113">
        <f>AJ17-AK17</f>
        <v>8609</v>
      </c>
    </row>
    <row r="18" spans="1:39" ht="20">
      <c r="A18" s="326">
        <v>16</v>
      </c>
      <c r="B18" s="99" t="s">
        <v>55</v>
      </c>
      <c r="C18" s="98" t="s">
        <v>321</v>
      </c>
      <c r="D18" s="103">
        <v>1</v>
      </c>
      <c r="E18" s="103">
        <v>0</v>
      </c>
      <c r="F18" s="103">
        <v>88</v>
      </c>
      <c r="G18" s="103">
        <v>246</v>
      </c>
      <c r="H18" s="103">
        <v>174</v>
      </c>
      <c r="I18" s="103">
        <v>176</v>
      </c>
      <c r="J18" s="103">
        <v>279</v>
      </c>
      <c r="K18" s="103">
        <v>405</v>
      </c>
      <c r="L18" s="103">
        <v>1</v>
      </c>
      <c r="M18" s="103">
        <v>1</v>
      </c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10">
        <f>AVERAGE(D18:AG18)</f>
        <v>137.1</v>
      </c>
      <c r="AJ18" s="111">
        <v>10000</v>
      </c>
      <c r="AK18" s="111">
        <f>SUM(D18:AH18)</f>
        <v>1371</v>
      </c>
      <c r="AL18" s="112">
        <f>AK18/AJ18</f>
        <v>0.1371</v>
      </c>
      <c r="AM18" s="113">
        <f>AJ18-AK18</f>
        <v>8629</v>
      </c>
    </row>
    <row r="19" spans="1:39" ht="20">
      <c r="A19" s="326">
        <v>19</v>
      </c>
      <c r="B19" s="115" t="s">
        <v>58</v>
      </c>
      <c r="C19" s="98" t="s">
        <v>59</v>
      </c>
      <c r="D19" s="103">
        <v>1</v>
      </c>
      <c r="E19" s="103">
        <v>1</v>
      </c>
      <c r="F19" s="103">
        <v>201</v>
      </c>
      <c r="G19" s="103">
        <v>207</v>
      </c>
      <c r="H19" s="103">
        <v>268</v>
      </c>
      <c r="I19" s="103">
        <v>2</v>
      </c>
      <c r="J19" s="103">
        <v>600</v>
      </c>
      <c r="K19" s="103">
        <v>104</v>
      </c>
      <c r="L19" s="103">
        <v>1</v>
      </c>
      <c r="M19" s="103">
        <v>2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10">
        <f>AVERAGE(D19:AG19)</f>
        <v>138.69999999999999</v>
      </c>
      <c r="AJ19" s="111">
        <v>10000</v>
      </c>
      <c r="AK19" s="111">
        <f>SUM(D19:AH19)</f>
        <v>1387</v>
      </c>
      <c r="AL19" s="112">
        <f>AK19/AJ19</f>
        <v>0.13869999999999999</v>
      </c>
      <c r="AM19" s="113">
        <f>AJ19-AK19</f>
        <v>8613</v>
      </c>
    </row>
    <row r="20" spans="1:39" ht="20">
      <c r="A20" s="326">
        <v>20</v>
      </c>
      <c r="B20" s="99" t="s">
        <v>60</v>
      </c>
      <c r="C20" s="98" t="s">
        <v>323</v>
      </c>
      <c r="D20" s="103">
        <v>3</v>
      </c>
      <c r="E20" s="103">
        <v>1</v>
      </c>
      <c r="F20" s="103">
        <v>330</v>
      </c>
      <c r="G20" s="103">
        <v>258</v>
      </c>
      <c r="H20" s="103">
        <v>133</v>
      </c>
      <c r="I20" s="103">
        <v>369</v>
      </c>
      <c r="J20" s="103">
        <v>105</v>
      </c>
      <c r="K20" s="103">
        <v>1</v>
      </c>
      <c r="L20" s="103">
        <v>1</v>
      </c>
      <c r="M20" s="103">
        <v>333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10">
        <f>AVERAGE(D20:AG20)</f>
        <v>153.4</v>
      </c>
      <c r="AJ20" s="111">
        <v>10000</v>
      </c>
      <c r="AK20" s="111">
        <f>SUM(D20:AH20)</f>
        <v>1534</v>
      </c>
      <c r="AL20" s="112">
        <f>AK20/AJ20</f>
        <v>0.15340000000000001</v>
      </c>
      <c r="AM20" s="113">
        <f>AJ20-AK20</f>
        <v>8466</v>
      </c>
    </row>
    <row r="21" spans="1:39" ht="20">
      <c r="A21" s="326">
        <v>21</v>
      </c>
      <c r="B21" s="333" t="s">
        <v>62</v>
      </c>
      <c r="C21" s="334" t="s">
        <v>63</v>
      </c>
      <c r="D21" s="335">
        <v>0</v>
      </c>
      <c r="E21" s="335">
        <v>0</v>
      </c>
      <c r="F21" s="335">
        <v>0</v>
      </c>
      <c r="G21" s="335">
        <v>0</v>
      </c>
      <c r="H21" s="335">
        <v>229</v>
      </c>
      <c r="I21" s="335">
        <v>63</v>
      </c>
      <c r="J21" s="335">
        <v>422</v>
      </c>
      <c r="K21" s="335">
        <v>200</v>
      </c>
      <c r="L21" s="335">
        <v>1</v>
      </c>
      <c r="M21" s="335">
        <v>309</v>
      </c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233">
        <f>AVERAGE(D21:AG21)</f>
        <v>122.4</v>
      </c>
      <c r="AJ21" s="325">
        <v>10000</v>
      </c>
      <c r="AK21" s="111">
        <f>SUM(D21:AH21)</f>
        <v>1224</v>
      </c>
      <c r="AL21" s="112">
        <f>AK21/AJ21</f>
        <v>0.12239999999999999</v>
      </c>
      <c r="AM21" s="235">
        <f>AJ21-AK21</f>
        <v>8776</v>
      </c>
    </row>
    <row r="22" spans="1:39" ht="20">
      <c r="A22" s="326">
        <v>17</v>
      </c>
      <c r="B22" s="99" t="s">
        <v>64</v>
      </c>
      <c r="C22" s="98" t="s">
        <v>311</v>
      </c>
      <c r="D22" s="103">
        <v>198</v>
      </c>
      <c r="E22" s="103">
        <v>230</v>
      </c>
      <c r="F22" s="103">
        <v>275</v>
      </c>
      <c r="G22" s="103">
        <v>208</v>
      </c>
      <c r="H22" s="103">
        <v>10</v>
      </c>
      <c r="I22" s="103">
        <v>3</v>
      </c>
      <c r="J22" s="103">
        <v>0</v>
      </c>
      <c r="K22" s="103">
        <v>87</v>
      </c>
      <c r="L22" s="103">
        <v>248</v>
      </c>
      <c r="M22" s="103">
        <v>249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10">
        <f>AVERAGE(D22:AG22)</f>
        <v>150.80000000000001</v>
      </c>
      <c r="AJ22" s="111">
        <v>10000</v>
      </c>
      <c r="AK22" s="111">
        <f>SUM(D22:AH22)</f>
        <v>1508</v>
      </c>
      <c r="AL22" s="112">
        <f>AK22/AJ22</f>
        <v>0.15079999999999999</v>
      </c>
      <c r="AM22" s="113">
        <f>AJ22-AK22</f>
        <v>8492</v>
      </c>
    </row>
    <row r="23" spans="1:39" ht="20">
      <c r="A23" s="326">
        <v>18</v>
      </c>
      <c r="B23" s="114" t="s">
        <v>56</v>
      </c>
      <c r="C23" s="102" t="s">
        <v>57</v>
      </c>
      <c r="D23" s="104"/>
      <c r="E23" s="104"/>
      <c r="F23" s="105"/>
      <c r="G23" s="105"/>
      <c r="H23" s="105"/>
      <c r="I23" s="104"/>
      <c r="J23" s="104"/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10" t="e">
        <f>AVERAGE(D23:AG23)</f>
        <v>#DIV/0!</v>
      </c>
      <c r="AJ23" s="111">
        <v>10000</v>
      </c>
      <c r="AK23" s="111">
        <f>SUM(D23:AH23)</f>
        <v>0</v>
      </c>
      <c r="AL23" s="112">
        <f>AK23/AJ23</f>
        <v>0</v>
      </c>
      <c r="AM23" s="113">
        <f>AJ23-AK23</f>
        <v>10000</v>
      </c>
    </row>
    <row r="24" spans="1:39" s="116" customFormat="1" ht="28.5" customHeight="1">
      <c r="C24" s="124" t="s">
        <v>70</v>
      </c>
      <c r="D24" s="118">
        <f>SUM(D6:D20)</f>
        <v>764</v>
      </c>
      <c r="E24" s="118">
        <f>SUM(E6:E20)</f>
        <v>1146</v>
      </c>
      <c r="F24" s="118">
        <f>SUM(F6:F20)</f>
        <v>2758</v>
      </c>
      <c r="G24" s="118">
        <f>SUM(G6:G20)</f>
        <v>2109</v>
      </c>
      <c r="H24" s="118">
        <f>SUM(H6:H20)</f>
        <v>2919</v>
      </c>
      <c r="I24" s="118">
        <f>SUM(I6:I20)</f>
        <v>3019</v>
      </c>
      <c r="J24" s="118">
        <f>SUM(J6:J20)</f>
        <v>3316</v>
      </c>
      <c r="K24" s="118">
        <f>SUM(K6:K20)</f>
        <v>2235</v>
      </c>
      <c r="L24" s="118">
        <f>SUM(L6:L20)</f>
        <v>630</v>
      </c>
      <c r="M24" s="118">
        <f>SUM(M6:M20)</f>
        <v>1279</v>
      </c>
      <c r="N24" s="118">
        <f>SUM(N6:N20)</f>
        <v>0</v>
      </c>
      <c r="O24" s="118">
        <f>SUM(O6:O20)</f>
        <v>0</v>
      </c>
      <c r="P24" s="118">
        <f>SUM(P6:P20)</f>
        <v>0</v>
      </c>
      <c r="Q24" s="118">
        <f>SUM(Q6:Q20)</f>
        <v>0</v>
      </c>
      <c r="R24" s="118">
        <f>SUM(R6:R20)</f>
        <v>0</v>
      </c>
      <c r="S24" s="118">
        <f>SUM(R6:R20)</f>
        <v>0</v>
      </c>
      <c r="T24" s="118">
        <f>SUM(S6:S20)</f>
        <v>0</v>
      </c>
      <c r="U24" s="118">
        <f>SUM(U6:U20)</f>
        <v>0</v>
      </c>
      <c r="V24" s="118">
        <f>SUM(V6:V20)</f>
        <v>0</v>
      </c>
      <c r="W24" s="118">
        <f>SUM(W6:W20)</f>
        <v>0</v>
      </c>
      <c r="X24" s="118">
        <f>SUM(X6:X20)</f>
        <v>0</v>
      </c>
      <c r="Y24" s="118">
        <f>SUM(Y6:Y20)</f>
        <v>0</v>
      </c>
      <c r="Z24" s="118">
        <f>SUM(Z6:Z19)</f>
        <v>0</v>
      </c>
      <c r="AA24" s="118">
        <f>SUM(AA6:AA20)</f>
        <v>0</v>
      </c>
      <c r="AB24" s="118">
        <f>SUM(AB6:AB20)</f>
        <v>0</v>
      </c>
      <c r="AC24" s="118">
        <f>SUM(AC6:AC20)</f>
        <v>0</v>
      </c>
      <c r="AD24" s="118">
        <f>SUM(AD6:AD20)</f>
        <v>0</v>
      </c>
      <c r="AE24" s="118">
        <f>SUM(AE6:AE20)</f>
        <v>0</v>
      </c>
      <c r="AF24" s="118">
        <f>SUM(AF6:AF20)</f>
        <v>0</v>
      </c>
      <c r="AG24" s="118">
        <f>SUM(AG6:AG20)</f>
        <v>0</v>
      </c>
      <c r="AH24" s="118">
        <f>SUM(AH6:AH20)</f>
        <v>0</v>
      </c>
      <c r="AI24" s="119" t="s">
        <v>66</v>
      </c>
      <c r="AJ24" s="121">
        <f>SUM(AJ6:AJ21)</f>
        <v>160000</v>
      </c>
      <c r="AK24" s="121">
        <f>SUM(AK3:AK20)</f>
        <v>20175</v>
      </c>
      <c r="AL24" s="122">
        <f t="shared" ref="AL24" si="0">AK24/AJ24</f>
        <v>0.12609375</v>
      </c>
      <c r="AM24" s="119"/>
    </row>
    <row r="25" spans="1:39" s="116" customFormat="1" ht="28.5" customHeight="1">
      <c r="C25" s="124" t="s">
        <v>83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7">
        <v>3150</v>
      </c>
      <c r="AI25" s="331" t="s">
        <v>87</v>
      </c>
      <c r="AJ25" s="327">
        <f>AVERAGE(AJ6:AJ20)</f>
        <v>10000</v>
      </c>
      <c r="AK25" s="327">
        <f>AVERAGE(AK6:AK20)</f>
        <v>1345</v>
      </c>
    </row>
    <row r="26" spans="1:39" s="116" customFormat="1" ht="15">
      <c r="C26" s="124" t="s">
        <v>72</v>
      </c>
      <c r="D26" s="123">
        <f>D27/D28</f>
        <v>0.11318518518518518</v>
      </c>
      <c r="E26" s="123">
        <f t="shared" ref="E26:AH26" si="1">E27/E28</f>
        <v>0.16977777777777778</v>
      </c>
      <c r="F26" s="123">
        <f t="shared" si="1"/>
        <v>0.40859259259259262</v>
      </c>
      <c r="G26" s="123">
        <f t="shared" si="1"/>
        <v>0.31244444444444441</v>
      </c>
      <c r="H26" s="123">
        <f>H27/H28</f>
        <v>0.43244444444444441</v>
      </c>
      <c r="I26" s="123">
        <f t="shared" si="1"/>
        <v>0.4472592592592593</v>
      </c>
      <c r="J26" s="123">
        <f t="shared" si="1"/>
        <v>0.49125925925925923</v>
      </c>
      <c r="K26" s="123">
        <f t="shared" si="1"/>
        <v>0.33111111111111113</v>
      </c>
      <c r="L26" s="123">
        <f t="shared" si="1"/>
        <v>9.3333333333333338E-2</v>
      </c>
      <c r="M26" s="123">
        <f t="shared" si="1"/>
        <v>0.18948148148148147</v>
      </c>
      <c r="N26" s="123" t="e">
        <f t="shared" si="1"/>
        <v>#DIV/0!</v>
      </c>
      <c r="O26" s="123" t="e">
        <f t="shared" si="1"/>
        <v>#DIV/0!</v>
      </c>
      <c r="P26" s="123" t="e">
        <f t="shared" si="1"/>
        <v>#DIV/0!</v>
      </c>
      <c r="Q26" s="123" t="e">
        <f t="shared" si="1"/>
        <v>#DIV/0!</v>
      </c>
      <c r="R26" s="123" t="e">
        <f t="shared" si="1"/>
        <v>#DIV/0!</v>
      </c>
      <c r="S26" s="123" t="e">
        <f>S27/S28</f>
        <v>#DIV/0!</v>
      </c>
      <c r="T26" s="123" t="e">
        <f t="shared" si="1"/>
        <v>#DIV/0!</v>
      </c>
      <c r="U26" s="123" t="e">
        <f t="shared" si="1"/>
        <v>#DIV/0!</v>
      </c>
      <c r="V26" s="123" t="e">
        <f t="shared" si="1"/>
        <v>#DIV/0!</v>
      </c>
      <c r="W26" s="123" t="e">
        <f t="shared" si="1"/>
        <v>#DIV/0!</v>
      </c>
      <c r="X26" s="123" t="e">
        <f t="shared" si="1"/>
        <v>#DIV/0!</v>
      </c>
      <c r="Y26" s="123" t="e">
        <f t="shared" si="1"/>
        <v>#DIV/0!</v>
      </c>
      <c r="Z26" s="123" t="e">
        <f t="shared" si="1"/>
        <v>#DIV/0!</v>
      </c>
      <c r="AA26" s="123" t="e">
        <f t="shared" si="1"/>
        <v>#DIV/0!</v>
      </c>
      <c r="AB26" s="123" t="e">
        <f t="shared" si="1"/>
        <v>#DIV/0!</v>
      </c>
      <c r="AC26" s="123" t="e">
        <f t="shared" si="1"/>
        <v>#DIV/0!</v>
      </c>
      <c r="AD26" s="123" t="e">
        <f t="shared" si="1"/>
        <v>#DIV/0!</v>
      </c>
      <c r="AE26" s="123" t="e">
        <f t="shared" si="1"/>
        <v>#DIV/0!</v>
      </c>
      <c r="AF26" s="123" t="e">
        <f t="shared" si="1"/>
        <v>#DIV/0!</v>
      </c>
      <c r="AG26" s="123" t="e">
        <f t="shared" si="1"/>
        <v>#DIV/0!</v>
      </c>
      <c r="AH26" s="328" t="e">
        <f t="shared" si="1"/>
        <v>#DIV/0!</v>
      </c>
      <c r="AI26" s="331"/>
    </row>
    <row r="27" spans="1:39" s="116" customFormat="1" ht="15">
      <c r="C27" s="124" t="s">
        <v>75</v>
      </c>
      <c r="D27" s="118">
        <f>AVERAGE(D6:D20)</f>
        <v>50.93333333333333</v>
      </c>
      <c r="E27" s="118">
        <f>AVERAGE(E6:E20)</f>
        <v>76.400000000000006</v>
      </c>
      <c r="F27" s="118">
        <f>AVERAGE(F6:F20)</f>
        <v>183.86666666666667</v>
      </c>
      <c r="G27" s="118">
        <f>AVERAGE(G6:G20)</f>
        <v>140.6</v>
      </c>
      <c r="H27" s="118">
        <f>AVERAGE(H6:H20)</f>
        <v>194.6</v>
      </c>
      <c r="I27" s="118">
        <f>AVERAGE(I6:I20)</f>
        <v>201.26666666666668</v>
      </c>
      <c r="J27" s="118">
        <f>AVERAGE(J6:J20)</f>
        <v>221.06666666666666</v>
      </c>
      <c r="K27" s="118">
        <f>AVERAGE(K6:K20)</f>
        <v>149</v>
      </c>
      <c r="L27" s="118">
        <f>AVERAGE(L6:L20)</f>
        <v>42</v>
      </c>
      <c r="M27" s="118">
        <f>AVERAGE(M6:M20)</f>
        <v>85.266666666666666</v>
      </c>
      <c r="N27" s="118" t="e">
        <f>AVERAGE(N6:N20)</f>
        <v>#DIV/0!</v>
      </c>
      <c r="O27" s="118" t="e">
        <f>AVERAGE(O6:O20)</f>
        <v>#DIV/0!</v>
      </c>
      <c r="P27" s="118" t="e">
        <f>AVERAGE(P6:P20)</f>
        <v>#DIV/0!</v>
      </c>
      <c r="Q27" s="118" t="e">
        <f>AVERAGE(Q6:Q20)</f>
        <v>#DIV/0!</v>
      </c>
      <c r="R27" s="118" t="e">
        <f>AVERAGE(R6:R20)</f>
        <v>#DIV/0!</v>
      </c>
      <c r="S27" s="118" t="e">
        <f>AVERAGE(R6:R20)</f>
        <v>#DIV/0!</v>
      </c>
      <c r="T27" s="118" t="e">
        <f>AVERAGE(S6:S20)</f>
        <v>#DIV/0!</v>
      </c>
      <c r="U27" s="118" t="e">
        <f>AVERAGE(U6:U20)</f>
        <v>#DIV/0!</v>
      </c>
      <c r="V27" s="118" t="e">
        <f>AVERAGE(V6:V20)</f>
        <v>#DIV/0!</v>
      </c>
      <c r="W27" s="118" t="e">
        <f>AVERAGE(W6:W20)</f>
        <v>#DIV/0!</v>
      </c>
      <c r="X27" s="118" t="e">
        <f>AVERAGE(X6:X20)</f>
        <v>#DIV/0!</v>
      </c>
      <c r="Y27" s="118" t="e">
        <f>AVERAGE(Y6:Y20)</f>
        <v>#DIV/0!</v>
      </c>
      <c r="Z27" s="118" t="e">
        <f>AVERAGE(Z6:Z19)</f>
        <v>#DIV/0!</v>
      </c>
      <c r="AA27" s="118" t="e">
        <f t="shared" ref="AA27:AH27" si="2">AVERAGE(AA6:AA20)</f>
        <v>#DIV/0!</v>
      </c>
      <c r="AB27" s="118" t="e">
        <f t="shared" si="2"/>
        <v>#DIV/0!</v>
      </c>
      <c r="AC27" s="118" t="e">
        <f t="shared" si="2"/>
        <v>#DIV/0!</v>
      </c>
      <c r="AD27" s="118" t="e">
        <f t="shared" si="2"/>
        <v>#DIV/0!</v>
      </c>
      <c r="AE27" s="118" t="e">
        <f t="shared" si="2"/>
        <v>#DIV/0!</v>
      </c>
      <c r="AF27" s="118" t="e">
        <f t="shared" si="2"/>
        <v>#DIV/0!</v>
      </c>
      <c r="AG27" s="118" t="e">
        <f t="shared" si="2"/>
        <v>#DIV/0!</v>
      </c>
      <c r="AH27" s="329" t="e">
        <f t="shared" si="2"/>
        <v>#DIV/0!</v>
      </c>
      <c r="AI27" s="332"/>
    </row>
    <row r="28" spans="1:39" s="116" customFormat="1" ht="15">
      <c r="C28" s="124" t="s">
        <v>74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  <c r="AH28" s="330">
        <v>450</v>
      </c>
      <c r="AI28" s="126"/>
    </row>
  </sheetData>
  <mergeCells count="1">
    <mergeCell ref="D1:AG1"/>
  </mergeCells>
  <phoneticPr fontId="21" type="noConversion"/>
  <conditionalFormatting sqref="B8">
    <cfRule type="duplicateValues" dxfId="156" priority="6"/>
  </conditionalFormatting>
  <conditionalFormatting sqref="B10:B11 B7">
    <cfRule type="duplicateValues" dxfId="155" priority="7"/>
  </conditionalFormatting>
  <conditionalFormatting sqref="B13">
    <cfRule type="duplicateValues" dxfId="154" priority="4"/>
  </conditionalFormatting>
  <conditionalFormatting sqref="B14">
    <cfRule type="duplicateValues" dxfId="153" priority="5"/>
  </conditionalFormatting>
  <conditionalFormatting sqref="B16:B17 B12">
    <cfRule type="duplicateValues" dxfId="152" priority="10"/>
  </conditionalFormatting>
  <conditionalFormatting sqref="B20 B15 B9 B3:B6">
    <cfRule type="duplicateValues" dxfId="151" priority="9"/>
  </conditionalFormatting>
  <conditionalFormatting sqref="D3:AH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M3:AM23">
    <cfRule type="cellIs" dxfId="150" priority="2" operator="lessThan">
      <formula>0</formula>
    </cfRule>
    <cfRule type="cellIs" dxfId="149" priority="3" operator="greaterThan">
      <formula>1</formula>
    </cfRule>
  </conditionalFormatting>
  <conditionalFormatting sqref="B21:B23 B18">
    <cfRule type="duplicateValues" dxfId="148" priority="366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45BE-818D-4EF5-B0CE-D5A24C8EB3CE}">
  <dimension ref="A1:AM28"/>
  <sheetViews>
    <sheetView topLeftCell="B1" workbookViewId="0">
      <pane xSplit="2" ySplit="2" topLeftCell="Z3" activePane="bottomRight" state="frozen"/>
      <selection activeCell="B1" sqref="B1"/>
      <selection pane="topRight" activeCell="D1" sqref="D1"/>
      <selection pane="bottomLeft" activeCell="B3" sqref="B3"/>
      <selection pane="bottomRight" activeCell="B1" sqref="A1:XFD1048576"/>
    </sheetView>
  </sheetViews>
  <sheetFormatPr defaultRowHeight="14.5"/>
  <cols>
    <col min="2" max="2" width="15.26953125" customWidth="1"/>
    <col min="3" max="3" width="35.08984375" bestFit="1" customWidth="1"/>
    <col min="4" max="31" width="11.7265625" bestFit="1" customWidth="1"/>
    <col min="32" max="32" width="9.54296875" bestFit="1" customWidth="1"/>
    <col min="33" max="33" width="9.54296875" customWidth="1"/>
    <col min="34" max="34" width="9.08984375" hidden="1" customWidth="1"/>
    <col min="35" max="35" width="10.453125" bestFit="1" customWidth="1"/>
    <col min="36" max="36" width="21.81640625" bestFit="1" customWidth="1"/>
    <col min="37" max="37" width="23.6328125" bestFit="1" customWidth="1"/>
    <col min="38" max="38" width="17.08984375" bestFit="1" customWidth="1"/>
    <col min="39" max="39" width="21.81640625" bestFit="1" customWidth="1"/>
  </cols>
  <sheetData>
    <row r="1" spans="1:39" ht="35.25" customHeight="1">
      <c r="C1" s="127" t="s">
        <v>129</v>
      </c>
      <c r="D1" s="365" t="s">
        <v>76</v>
      </c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157"/>
    </row>
    <row r="2" spans="1:39" ht="75.5" customHeight="1">
      <c r="B2" s="318" t="s">
        <v>4</v>
      </c>
      <c r="C2" s="62" t="s">
        <v>5</v>
      </c>
      <c r="D2" s="342" t="s">
        <v>375</v>
      </c>
      <c r="E2" s="342" t="s">
        <v>376</v>
      </c>
      <c r="F2" s="342" t="s">
        <v>377</v>
      </c>
      <c r="G2" s="342" t="s">
        <v>378</v>
      </c>
      <c r="H2" s="342" t="s">
        <v>379</v>
      </c>
      <c r="I2" s="342" t="s">
        <v>380</v>
      </c>
      <c r="J2" s="342" t="s">
        <v>381</v>
      </c>
      <c r="K2" s="342" t="s">
        <v>382</v>
      </c>
      <c r="L2" s="342" t="s">
        <v>383</v>
      </c>
      <c r="M2" s="342" t="s">
        <v>384</v>
      </c>
      <c r="N2" s="342" t="s">
        <v>385</v>
      </c>
      <c r="O2" s="342" t="s">
        <v>386</v>
      </c>
      <c r="P2" s="342" t="s">
        <v>387</v>
      </c>
      <c r="Q2" s="342" t="s">
        <v>388</v>
      </c>
      <c r="R2" s="342" t="s">
        <v>389</v>
      </c>
      <c r="S2" s="342" t="s">
        <v>390</v>
      </c>
      <c r="T2" s="342" t="s">
        <v>391</v>
      </c>
      <c r="U2" s="342" t="s">
        <v>392</v>
      </c>
      <c r="V2" s="342" t="s">
        <v>393</v>
      </c>
      <c r="W2" s="342" t="s">
        <v>394</v>
      </c>
      <c r="X2" s="342" t="s">
        <v>395</v>
      </c>
      <c r="Y2" s="342" t="s">
        <v>396</v>
      </c>
      <c r="Z2" s="342" t="s">
        <v>397</v>
      </c>
      <c r="AA2" s="342" t="s">
        <v>398</v>
      </c>
      <c r="AB2" s="342" t="s">
        <v>399</v>
      </c>
      <c r="AC2" s="342" t="s">
        <v>400</v>
      </c>
      <c r="AD2" s="342" t="s">
        <v>401</v>
      </c>
      <c r="AE2" s="342" t="s">
        <v>402</v>
      </c>
      <c r="AF2" s="342" t="s">
        <v>403</v>
      </c>
      <c r="AG2" s="342" t="s">
        <v>404</v>
      </c>
      <c r="AH2" s="342" t="s">
        <v>356</v>
      </c>
      <c r="AI2" s="320" t="s">
        <v>79</v>
      </c>
      <c r="AJ2" s="321" t="s">
        <v>18</v>
      </c>
      <c r="AK2" s="322" t="s">
        <v>77</v>
      </c>
      <c r="AL2" s="323" t="s">
        <v>20</v>
      </c>
      <c r="AM2" s="324" t="s">
        <v>78</v>
      </c>
    </row>
    <row r="3" spans="1:39" ht="20">
      <c r="A3" s="326">
        <v>1</v>
      </c>
      <c r="B3" s="99" t="s">
        <v>33</v>
      </c>
      <c r="C3" s="98" t="s">
        <v>34</v>
      </c>
      <c r="D3" s="103">
        <v>14</v>
      </c>
      <c r="E3" s="103">
        <v>0</v>
      </c>
      <c r="F3" s="103">
        <v>187</v>
      </c>
      <c r="G3" s="103">
        <v>480</v>
      </c>
      <c r="H3" s="103">
        <v>132</v>
      </c>
      <c r="I3" s="103">
        <v>200</v>
      </c>
      <c r="J3" s="103">
        <v>274</v>
      </c>
      <c r="K3" s="103">
        <v>195</v>
      </c>
      <c r="L3" s="103">
        <v>252</v>
      </c>
      <c r="M3" s="103">
        <v>95</v>
      </c>
      <c r="N3" s="103">
        <v>164</v>
      </c>
      <c r="O3" s="103">
        <v>301</v>
      </c>
      <c r="P3" s="103">
        <v>36</v>
      </c>
      <c r="Q3" s="103">
        <v>404</v>
      </c>
      <c r="R3" s="103">
        <v>117</v>
      </c>
      <c r="S3" s="103">
        <v>247</v>
      </c>
      <c r="T3" s="103">
        <v>337</v>
      </c>
      <c r="U3" s="103">
        <v>285</v>
      </c>
      <c r="V3" s="103">
        <v>179</v>
      </c>
      <c r="W3" s="103">
        <v>182</v>
      </c>
      <c r="X3" s="103">
        <v>239</v>
      </c>
      <c r="Y3" s="103">
        <v>264</v>
      </c>
      <c r="Z3" s="103">
        <v>339</v>
      </c>
      <c r="AA3" s="103">
        <v>0</v>
      </c>
      <c r="AB3" s="103">
        <v>0</v>
      </c>
      <c r="AC3" s="103">
        <v>214</v>
      </c>
      <c r="AD3" s="103">
        <v>280</v>
      </c>
      <c r="AE3" s="103">
        <v>0</v>
      </c>
      <c r="AF3" s="103">
        <v>1</v>
      </c>
      <c r="AG3" s="103">
        <v>0</v>
      </c>
      <c r="AH3" s="103"/>
      <c r="AI3" s="110">
        <f t="shared" ref="AI3:AI23" si="0">AVERAGE(D3:AG3)</f>
        <v>180.6</v>
      </c>
      <c r="AJ3" s="111">
        <v>10000</v>
      </c>
      <c r="AK3" s="111">
        <f>SUM(D3:AH3)</f>
        <v>5418</v>
      </c>
      <c r="AL3" s="112">
        <f t="shared" ref="AL3:AL23" si="1">AK3/AJ3</f>
        <v>0.54179999999999995</v>
      </c>
      <c r="AM3" s="113">
        <f t="shared" ref="AM3:AM17" si="2">AJ3-AK3</f>
        <v>4582</v>
      </c>
    </row>
    <row r="4" spans="1:39" ht="20">
      <c r="A4" s="326">
        <v>2</v>
      </c>
      <c r="B4" s="99" t="s">
        <v>43</v>
      </c>
      <c r="C4" s="98" t="s">
        <v>164</v>
      </c>
      <c r="D4" s="103">
        <v>206</v>
      </c>
      <c r="E4" s="103">
        <v>347</v>
      </c>
      <c r="F4" s="103">
        <v>396</v>
      </c>
      <c r="G4" s="103">
        <v>312</v>
      </c>
      <c r="H4" s="103">
        <v>122</v>
      </c>
      <c r="I4" s="103">
        <v>3</v>
      </c>
      <c r="J4" s="103">
        <v>198</v>
      </c>
      <c r="K4" s="103">
        <v>251</v>
      </c>
      <c r="L4" s="103">
        <v>0</v>
      </c>
      <c r="M4" s="103">
        <v>10</v>
      </c>
      <c r="N4" s="103">
        <v>2</v>
      </c>
      <c r="O4" s="103">
        <v>0</v>
      </c>
      <c r="P4" s="103">
        <v>290</v>
      </c>
      <c r="Q4" s="103">
        <v>124</v>
      </c>
      <c r="R4" s="103">
        <v>264</v>
      </c>
      <c r="S4" s="103">
        <v>275</v>
      </c>
      <c r="T4" s="103">
        <v>122</v>
      </c>
      <c r="U4" s="103">
        <v>289</v>
      </c>
      <c r="V4" s="103">
        <v>264</v>
      </c>
      <c r="W4" s="103">
        <v>12</v>
      </c>
      <c r="X4" s="103">
        <v>90</v>
      </c>
      <c r="Y4" s="103">
        <v>142</v>
      </c>
      <c r="Z4" s="103">
        <v>200</v>
      </c>
      <c r="AA4" s="103">
        <v>184</v>
      </c>
      <c r="AB4" s="103">
        <v>3</v>
      </c>
      <c r="AC4" s="103">
        <v>160</v>
      </c>
      <c r="AD4" s="103">
        <v>186</v>
      </c>
      <c r="AE4" s="103">
        <v>283</v>
      </c>
      <c r="AF4" s="103">
        <v>106</v>
      </c>
      <c r="AG4" s="103">
        <v>12</v>
      </c>
      <c r="AH4" s="103"/>
      <c r="AI4" s="110">
        <f t="shared" si="0"/>
        <v>161.76666666666668</v>
      </c>
      <c r="AJ4" s="111">
        <v>10000</v>
      </c>
      <c r="AK4" s="111">
        <f t="shared" ref="AK4:AK23" si="3">SUM(D4:AH4)</f>
        <v>4853</v>
      </c>
      <c r="AL4" s="112">
        <f t="shared" si="1"/>
        <v>0.48530000000000001</v>
      </c>
      <c r="AM4" s="113">
        <f t="shared" si="2"/>
        <v>5147</v>
      </c>
    </row>
    <row r="5" spans="1:39" ht="20">
      <c r="A5" s="326">
        <v>3</v>
      </c>
      <c r="B5" s="99" t="s">
        <v>38</v>
      </c>
      <c r="C5" s="98" t="s">
        <v>39</v>
      </c>
      <c r="D5" s="103">
        <v>4</v>
      </c>
      <c r="E5" s="103">
        <v>0</v>
      </c>
      <c r="F5" s="103">
        <v>0</v>
      </c>
      <c r="G5" s="103">
        <v>47</v>
      </c>
      <c r="H5" s="103">
        <v>379</v>
      </c>
      <c r="I5" s="103">
        <v>179</v>
      </c>
      <c r="J5" s="103">
        <v>53</v>
      </c>
      <c r="K5" s="103">
        <v>248</v>
      </c>
      <c r="L5" s="103">
        <v>308</v>
      </c>
      <c r="M5" s="103">
        <v>307</v>
      </c>
      <c r="N5" s="103">
        <v>22</v>
      </c>
      <c r="O5" s="103">
        <v>97</v>
      </c>
      <c r="P5" s="103">
        <v>268</v>
      </c>
      <c r="Q5" s="103">
        <v>384</v>
      </c>
      <c r="R5" s="103">
        <v>22</v>
      </c>
      <c r="S5" s="103">
        <v>91</v>
      </c>
      <c r="T5" s="103">
        <v>282</v>
      </c>
      <c r="U5" s="103">
        <v>118</v>
      </c>
      <c r="V5" s="103">
        <v>90</v>
      </c>
      <c r="W5" s="103">
        <v>243</v>
      </c>
      <c r="X5" s="103">
        <v>108</v>
      </c>
      <c r="Y5" s="103">
        <v>224</v>
      </c>
      <c r="Z5" s="103">
        <v>258</v>
      </c>
      <c r="AA5" s="103">
        <v>241</v>
      </c>
      <c r="AB5" s="103">
        <v>52</v>
      </c>
      <c r="AC5" s="103">
        <v>91</v>
      </c>
      <c r="AD5" s="103">
        <v>194</v>
      </c>
      <c r="AE5" s="103">
        <v>144</v>
      </c>
      <c r="AF5" s="103">
        <v>308</v>
      </c>
      <c r="AG5" s="103">
        <v>2</v>
      </c>
      <c r="AH5" s="103"/>
      <c r="AI5" s="110">
        <f t="shared" si="0"/>
        <v>158.80000000000001</v>
      </c>
      <c r="AJ5" s="111">
        <v>10000</v>
      </c>
      <c r="AK5" s="111">
        <f t="shared" si="3"/>
        <v>4764</v>
      </c>
      <c r="AL5" s="112">
        <f t="shared" si="1"/>
        <v>0.47639999999999999</v>
      </c>
      <c r="AM5" s="113">
        <f t="shared" si="2"/>
        <v>5236</v>
      </c>
    </row>
    <row r="6" spans="1:39" ht="20">
      <c r="A6" s="326">
        <v>4</v>
      </c>
      <c r="B6" s="200" t="s">
        <v>40</v>
      </c>
      <c r="C6" s="98" t="s">
        <v>160</v>
      </c>
      <c r="D6" s="103">
        <v>4</v>
      </c>
      <c r="E6" s="103">
        <v>0</v>
      </c>
      <c r="F6" s="103">
        <v>0</v>
      </c>
      <c r="G6" s="103">
        <v>65</v>
      </c>
      <c r="H6" s="103">
        <v>362</v>
      </c>
      <c r="I6" s="103">
        <v>232</v>
      </c>
      <c r="J6" s="103">
        <v>271</v>
      </c>
      <c r="K6" s="103">
        <v>329</v>
      </c>
      <c r="L6" s="103">
        <v>0</v>
      </c>
      <c r="M6" s="103">
        <v>0</v>
      </c>
      <c r="N6" s="103">
        <v>1</v>
      </c>
      <c r="O6" s="103">
        <v>26</v>
      </c>
      <c r="P6" s="103">
        <v>363</v>
      </c>
      <c r="Q6" s="103">
        <v>375</v>
      </c>
      <c r="R6" s="103">
        <v>0</v>
      </c>
      <c r="S6" s="103">
        <v>322</v>
      </c>
      <c r="T6" s="103">
        <v>138</v>
      </c>
      <c r="U6" s="103">
        <v>279</v>
      </c>
      <c r="V6" s="103">
        <v>68</v>
      </c>
      <c r="W6" s="103">
        <v>264</v>
      </c>
      <c r="X6" s="103">
        <v>75</v>
      </c>
      <c r="Y6" s="103">
        <v>215</v>
      </c>
      <c r="Z6" s="103">
        <v>256</v>
      </c>
      <c r="AA6" s="103">
        <v>0</v>
      </c>
      <c r="AB6" s="103">
        <v>7</v>
      </c>
      <c r="AC6" s="103">
        <v>317</v>
      </c>
      <c r="AD6" s="103">
        <v>318</v>
      </c>
      <c r="AE6" s="103">
        <v>98</v>
      </c>
      <c r="AF6" s="103">
        <v>142</v>
      </c>
      <c r="AG6" s="103">
        <v>143</v>
      </c>
      <c r="AH6" s="103"/>
      <c r="AI6" s="110">
        <f t="shared" si="0"/>
        <v>155.66666666666666</v>
      </c>
      <c r="AJ6" s="111">
        <v>10000</v>
      </c>
      <c r="AK6" s="111">
        <f t="shared" si="3"/>
        <v>4670</v>
      </c>
      <c r="AL6" s="112">
        <f t="shared" si="1"/>
        <v>0.46700000000000003</v>
      </c>
      <c r="AM6" s="201">
        <f t="shared" si="2"/>
        <v>5330</v>
      </c>
    </row>
    <row r="7" spans="1:39" ht="20.5" customHeight="1">
      <c r="A7" s="326">
        <v>5</v>
      </c>
      <c r="B7" s="99" t="s">
        <v>47</v>
      </c>
      <c r="C7" s="98" t="s">
        <v>48</v>
      </c>
      <c r="D7" s="103">
        <v>396</v>
      </c>
      <c r="E7" s="103">
        <v>0</v>
      </c>
      <c r="F7" s="103">
        <v>12</v>
      </c>
      <c r="G7" s="103">
        <v>2</v>
      </c>
      <c r="H7" s="103">
        <v>280</v>
      </c>
      <c r="I7" s="103">
        <v>353</v>
      </c>
      <c r="J7" s="103">
        <v>200</v>
      </c>
      <c r="K7" s="103">
        <v>263</v>
      </c>
      <c r="L7" s="103">
        <v>295</v>
      </c>
      <c r="M7" s="103">
        <v>11</v>
      </c>
      <c r="N7" s="103">
        <v>6</v>
      </c>
      <c r="O7" s="103">
        <v>2</v>
      </c>
      <c r="P7" s="103">
        <v>345</v>
      </c>
      <c r="Q7" s="103">
        <v>239</v>
      </c>
      <c r="R7" s="103">
        <v>5</v>
      </c>
      <c r="S7" s="103">
        <v>261</v>
      </c>
      <c r="T7" s="103">
        <v>63</v>
      </c>
      <c r="U7" s="103">
        <v>322</v>
      </c>
      <c r="V7" s="103">
        <v>0</v>
      </c>
      <c r="W7" s="103">
        <v>328</v>
      </c>
      <c r="X7" s="103">
        <v>54</v>
      </c>
      <c r="Y7" s="103">
        <v>179</v>
      </c>
      <c r="Z7" s="103">
        <v>0</v>
      </c>
      <c r="AA7" s="103">
        <v>241</v>
      </c>
      <c r="AB7" s="103">
        <v>53</v>
      </c>
      <c r="AC7" s="103">
        <v>94</v>
      </c>
      <c r="AD7" s="103">
        <v>364</v>
      </c>
      <c r="AE7" s="103">
        <v>200</v>
      </c>
      <c r="AF7" s="103">
        <v>95</v>
      </c>
      <c r="AG7" s="103">
        <v>2</v>
      </c>
      <c r="AH7" s="103"/>
      <c r="AI7" s="110">
        <f t="shared" si="0"/>
        <v>155.5</v>
      </c>
      <c r="AJ7" s="111">
        <v>10000</v>
      </c>
      <c r="AK7" s="111">
        <f t="shared" si="3"/>
        <v>4665</v>
      </c>
      <c r="AL7" s="112">
        <f t="shared" si="1"/>
        <v>0.46650000000000003</v>
      </c>
      <c r="AM7" s="113">
        <f t="shared" si="2"/>
        <v>5335</v>
      </c>
    </row>
    <row r="8" spans="1:39" ht="20">
      <c r="A8" s="326">
        <v>6</v>
      </c>
      <c r="B8" s="99" t="s">
        <v>37</v>
      </c>
      <c r="C8" s="98" t="s">
        <v>405</v>
      </c>
      <c r="D8" s="103">
        <v>13</v>
      </c>
      <c r="E8" s="103">
        <v>145</v>
      </c>
      <c r="F8" s="103">
        <v>2</v>
      </c>
      <c r="G8" s="103">
        <v>460</v>
      </c>
      <c r="H8" s="103">
        <v>212</v>
      </c>
      <c r="I8" s="103">
        <v>271</v>
      </c>
      <c r="J8" s="103">
        <v>31</v>
      </c>
      <c r="K8" s="103">
        <v>127</v>
      </c>
      <c r="L8" s="103">
        <v>313</v>
      </c>
      <c r="M8" s="103">
        <v>135</v>
      </c>
      <c r="N8" s="103">
        <v>135</v>
      </c>
      <c r="O8" s="103">
        <v>344</v>
      </c>
      <c r="P8" s="103">
        <v>122</v>
      </c>
      <c r="Q8" s="103">
        <v>4</v>
      </c>
      <c r="R8" s="103">
        <v>162</v>
      </c>
      <c r="S8" s="103">
        <v>382</v>
      </c>
      <c r="T8" s="103">
        <v>202</v>
      </c>
      <c r="U8" s="103">
        <v>270</v>
      </c>
      <c r="V8" s="103">
        <v>89</v>
      </c>
      <c r="W8" s="103">
        <v>351</v>
      </c>
      <c r="X8" s="103">
        <v>6</v>
      </c>
      <c r="Y8" s="103">
        <v>90</v>
      </c>
      <c r="Z8" s="103">
        <v>333</v>
      </c>
      <c r="AA8" s="103">
        <v>1</v>
      </c>
      <c r="AB8" s="103">
        <v>0</v>
      </c>
      <c r="AC8" s="103">
        <v>1</v>
      </c>
      <c r="AD8" s="103">
        <v>1</v>
      </c>
      <c r="AE8" s="103">
        <v>1</v>
      </c>
      <c r="AF8" s="103">
        <v>41</v>
      </c>
      <c r="AG8" s="103">
        <v>253</v>
      </c>
      <c r="AH8" s="103"/>
      <c r="AI8" s="110">
        <f t="shared" si="0"/>
        <v>149.9</v>
      </c>
      <c r="AJ8" s="111">
        <v>10000</v>
      </c>
      <c r="AK8" s="111">
        <f t="shared" si="3"/>
        <v>4497</v>
      </c>
      <c r="AL8" s="112">
        <f t="shared" si="1"/>
        <v>0.44969999999999999</v>
      </c>
      <c r="AM8" s="113">
        <f t="shared" si="2"/>
        <v>5503</v>
      </c>
    </row>
    <row r="9" spans="1:39" ht="20">
      <c r="A9" s="326">
        <v>7</v>
      </c>
      <c r="B9" s="99" t="s">
        <v>45</v>
      </c>
      <c r="C9" s="98" t="s">
        <v>46</v>
      </c>
      <c r="D9" s="103">
        <v>6</v>
      </c>
      <c r="E9" s="103">
        <v>1</v>
      </c>
      <c r="F9" s="103">
        <v>0</v>
      </c>
      <c r="G9" s="103">
        <v>39</v>
      </c>
      <c r="H9" s="103">
        <v>373</v>
      </c>
      <c r="I9" s="103">
        <v>403</v>
      </c>
      <c r="J9" s="103">
        <v>261</v>
      </c>
      <c r="K9" s="103">
        <v>302</v>
      </c>
      <c r="L9" s="103">
        <v>11</v>
      </c>
      <c r="M9" s="103">
        <v>35</v>
      </c>
      <c r="N9" s="103">
        <v>230</v>
      </c>
      <c r="O9" s="103">
        <v>196</v>
      </c>
      <c r="P9" s="103">
        <v>171</v>
      </c>
      <c r="Q9" s="103">
        <v>1</v>
      </c>
      <c r="R9" s="103">
        <v>142</v>
      </c>
      <c r="S9" s="103">
        <v>186</v>
      </c>
      <c r="T9" s="103">
        <v>80</v>
      </c>
      <c r="U9" s="103">
        <v>120</v>
      </c>
      <c r="V9" s="103">
        <v>117</v>
      </c>
      <c r="W9" s="103">
        <v>191</v>
      </c>
      <c r="X9" s="103">
        <v>246</v>
      </c>
      <c r="Y9" s="103">
        <v>117</v>
      </c>
      <c r="Z9" s="103">
        <v>135</v>
      </c>
      <c r="AA9" s="103">
        <v>0</v>
      </c>
      <c r="AB9" s="103">
        <v>0</v>
      </c>
      <c r="AC9" s="103">
        <v>172</v>
      </c>
      <c r="AD9" s="103">
        <v>262</v>
      </c>
      <c r="AE9" s="103">
        <v>232</v>
      </c>
      <c r="AF9" s="103">
        <v>66</v>
      </c>
      <c r="AG9" s="103">
        <v>10</v>
      </c>
      <c r="AH9" s="103"/>
      <c r="AI9" s="110">
        <f t="shared" si="0"/>
        <v>136.83333333333334</v>
      </c>
      <c r="AJ9" s="111">
        <v>10000</v>
      </c>
      <c r="AK9" s="111">
        <f t="shared" si="3"/>
        <v>4105</v>
      </c>
      <c r="AL9" s="112">
        <f t="shared" si="1"/>
        <v>0.41049999999999998</v>
      </c>
      <c r="AM9" s="113">
        <f t="shared" si="2"/>
        <v>5895</v>
      </c>
    </row>
    <row r="10" spans="1:39" ht="20">
      <c r="A10" s="326">
        <v>8</v>
      </c>
      <c r="B10" s="99" t="s">
        <v>35</v>
      </c>
      <c r="C10" s="98" t="s">
        <v>36</v>
      </c>
      <c r="D10" s="103">
        <v>90</v>
      </c>
      <c r="E10" s="103">
        <v>0</v>
      </c>
      <c r="F10" s="103">
        <v>51</v>
      </c>
      <c r="G10" s="103">
        <v>278</v>
      </c>
      <c r="H10" s="103">
        <v>0</v>
      </c>
      <c r="I10" s="103">
        <v>109</v>
      </c>
      <c r="J10" s="103">
        <v>374</v>
      </c>
      <c r="K10" s="103">
        <v>0</v>
      </c>
      <c r="L10" s="103">
        <v>0</v>
      </c>
      <c r="M10" s="103">
        <v>136</v>
      </c>
      <c r="N10" s="103">
        <v>136</v>
      </c>
      <c r="O10" s="103">
        <v>371</v>
      </c>
      <c r="P10" s="103">
        <v>90</v>
      </c>
      <c r="Q10" s="103">
        <v>11</v>
      </c>
      <c r="R10" s="103">
        <v>165</v>
      </c>
      <c r="S10" s="103">
        <v>379</v>
      </c>
      <c r="T10" s="103">
        <v>201</v>
      </c>
      <c r="U10" s="103">
        <v>291</v>
      </c>
      <c r="V10" s="103">
        <v>22</v>
      </c>
      <c r="W10" s="103">
        <v>182</v>
      </c>
      <c r="X10" s="103">
        <v>329</v>
      </c>
      <c r="Y10" s="103">
        <v>22</v>
      </c>
      <c r="Z10" s="103">
        <v>320</v>
      </c>
      <c r="AA10" s="103">
        <v>0</v>
      </c>
      <c r="AB10" s="103">
        <v>0</v>
      </c>
      <c r="AC10" s="103">
        <v>0</v>
      </c>
      <c r="AD10" s="103">
        <v>0</v>
      </c>
      <c r="AE10" s="103">
        <v>0</v>
      </c>
      <c r="AF10" s="103">
        <v>34</v>
      </c>
      <c r="AG10" s="103">
        <v>444</v>
      </c>
      <c r="AH10" s="103"/>
      <c r="AI10" s="110">
        <f t="shared" si="0"/>
        <v>134.5</v>
      </c>
      <c r="AJ10" s="111">
        <v>10000</v>
      </c>
      <c r="AK10" s="111">
        <f t="shared" si="3"/>
        <v>4035</v>
      </c>
      <c r="AL10" s="112">
        <f t="shared" si="1"/>
        <v>0.40350000000000003</v>
      </c>
      <c r="AM10" s="113">
        <f t="shared" si="2"/>
        <v>5965</v>
      </c>
    </row>
    <row r="11" spans="1:39" ht="20">
      <c r="A11" s="326">
        <v>9</v>
      </c>
      <c r="B11" s="115" t="s">
        <v>58</v>
      </c>
      <c r="C11" s="98" t="s">
        <v>59</v>
      </c>
      <c r="D11" s="103">
        <v>94</v>
      </c>
      <c r="E11" s="103">
        <v>1</v>
      </c>
      <c r="F11" s="103">
        <v>1</v>
      </c>
      <c r="G11" s="103">
        <v>38</v>
      </c>
      <c r="H11" s="103">
        <v>383</v>
      </c>
      <c r="I11" s="103">
        <v>240</v>
      </c>
      <c r="J11" s="103">
        <v>211</v>
      </c>
      <c r="K11" s="103">
        <v>254</v>
      </c>
      <c r="L11" s="103">
        <v>95</v>
      </c>
      <c r="M11" s="103">
        <v>425</v>
      </c>
      <c r="N11" s="103">
        <v>0</v>
      </c>
      <c r="O11" s="103">
        <v>0</v>
      </c>
      <c r="P11" s="103">
        <v>10</v>
      </c>
      <c r="Q11" s="103">
        <v>3</v>
      </c>
      <c r="R11" s="103">
        <v>89</v>
      </c>
      <c r="S11" s="103">
        <v>244</v>
      </c>
      <c r="T11" s="103">
        <v>142</v>
      </c>
      <c r="U11" s="103">
        <v>57</v>
      </c>
      <c r="V11" s="103">
        <v>165</v>
      </c>
      <c r="W11" s="103">
        <v>139</v>
      </c>
      <c r="X11" s="103">
        <v>0</v>
      </c>
      <c r="Y11" s="103">
        <v>165</v>
      </c>
      <c r="Z11" s="103">
        <v>0</v>
      </c>
      <c r="AA11" s="103">
        <v>1</v>
      </c>
      <c r="AB11" s="103">
        <v>8</v>
      </c>
      <c r="AC11" s="103">
        <v>406</v>
      </c>
      <c r="AD11" s="103">
        <v>180</v>
      </c>
      <c r="AE11" s="103">
        <v>63</v>
      </c>
      <c r="AF11" s="103">
        <v>399</v>
      </c>
      <c r="AG11" s="103">
        <v>141</v>
      </c>
      <c r="AH11" s="103"/>
      <c r="AI11" s="110">
        <f t="shared" si="0"/>
        <v>131.80000000000001</v>
      </c>
      <c r="AJ11" s="111">
        <v>10000</v>
      </c>
      <c r="AK11" s="111">
        <f t="shared" si="3"/>
        <v>3954</v>
      </c>
      <c r="AL11" s="112">
        <f t="shared" si="1"/>
        <v>0.39539999999999997</v>
      </c>
      <c r="AM11" s="113">
        <f t="shared" si="2"/>
        <v>6046</v>
      </c>
    </row>
    <row r="12" spans="1:39" ht="20">
      <c r="A12" s="326">
        <v>10</v>
      </c>
      <c r="B12" s="99" t="s">
        <v>55</v>
      </c>
      <c r="C12" s="98" t="s">
        <v>321</v>
      </c>
      <c r="D12" s="103">
        <v>213</v>
      </c>
      <c r="E12" s="103">
        <v>1</v>
      </c>
      <c r="F12" s="103">
        <v>1</v>
      </c>
      <c r="G12" s="103">
        <v>55</v>
      </c>
      <c r="H12" s="103">
        <v>371</v>
      </c>
      <c r="I12" s="103">
        <v>233</v>
      </c>
      <c r="J12" s="103">
        <v>271</v>
      </c>
      <c r="K12" s="103">
        <v>122</v>
      </c>
      <c r="L12" s="103">
        <v>210</v>
      </c>
      <c r="M12" s="103">
        <v>11</v>
      </c>
      <c r="N12" s="103">
        <v>3</v>
      </c>
      <c r="O12" s="103">
        <v>1</v>
      </c>
      <c r="P12" s="103">
        <v>306</v>
      </c>
      <c r="Q12" s="103">
        <v>106</v>
      </c>
      <c r="R12" s="103">
        <v>179</v>
      </c>
      <c r="S12" s="103">
        <v>177</v>
      </c>
      <c r="T12" s="103">
        <v>271</v>
      </c>
      <c r="U12" s="103">
        <v>145</v>
      </c>
      <c r="V12" s="103">
        <v>124</v>
      </c>
      <c r="W12" s="103">
        <v>3</v>
      </c>
      <c r="X12" s="103">
        <v>0</v>
      </c>
      <c r="Y12" s="103">
        <v>142</v>
      </c>
      <c r="Z12" s="103">
        <v>14</v>
      </c>
      <c r="AA12" s="103">
        <v>198</v>
      </c>
      <c r="AB12" s="103">
        <v>3</v>
      </c>
      <c r="AC12" s="103">
        <v>119</v>
      </c>
      <c r="AD12" s="103">
        <v>167</v>
      </c>
      <c r="AE12" s="103">
        <v>90</v>
      </c>
      <c r="AF12" s="103">
        <v>274</v>
      </c>
      <c r="AG12" s="103">
        <v>92</v>
      </c>
      <c r="AH12" s="103"/>
      <c r="AI12" s="110">
        <f t="shared" si="0"/>
        <v>130.06666666666666</v>
      </c>
      <c r="AJ12" s="111">
        <v>10000</v>
      </c>
      <c r="AK12" s="111">
        <f t="shared" si="3"/>
        <v>3902</v>
      </c>
      <c r="AL12" s="112">
        <f t="shared" si="1"/>
        <v>0.39019999999999999</v>
      </c>
      <c r="AM12" s="113">
        <f t="shared" si="2"/>
        <v>6098</v>
      </c>
    </row>
    <row r="13" spans="1:39" ht="20">
      <c r="A13" s="326">
        <v>11</v>
      </c>
      <c r="B13" s="99" t="s">
        <v>49</v>
      </c>
      <c r="C13" s="98" t="s">
        <v>50</v>
      </c>
      <c r="D13" s="103">
        <v>213</v>
      </c>
      <c r="E13" s="103">
        <v>38</v>
      </c>
      <c r="F13" s="103">
        <v>225</v>
      </c>
      <c r="G13" s="103">
        <v>1</v>
      </c>
      <c r="H13" s="103">
        <v>1</v>
      </c>
      <c r="I13" s="103">
        <v>102</v>
      </c>
      <c r="J13" s="103">
        <v>215</v>
      </c>
      <c r="K13" s="103">
        <v>223</v>
      </c>
      <c r="L13" s="103">
        <v>46</v>
      </c>
      <c r="M13" s="103">
        <v>10</v>
      </c>
      <c r="N13" s="103">
        <v>3</v>
      </c>
      <c r="O13" s="103">
        <v>1</v>
      </c>
      <c r="P13" s="103">
        <v>305</v>
      </c>
      <c r="Q13" s="103">
        <v>143</v>
      </c>
      <c r="R13" s="103">
        <v>142</v>
      </c>
      <c r="S13" s="103">
        <v>217</v>
      </c>
      <c r="T13" s="103">
        <v>137</v>
      </c>
      <c r="U13" s="103">
        <v>141</v>
      </c>
      <c r="V13" s="103">
        <v>162</v>
      </c>
      <c r="W13" s="103">
        <v>288</v>
      </c>
      <c r="X13" s="103">
        <v>3</v>
      </c>
      <c r="Y13" s="103">
        <v>5</v>
      </c>
      <c r="Z13" s="103">
        <v>204</v>
      </c>
      <c r="AA13" s="103">
        <v>202</v>
      </c>
      <c r="AB13" s="103">
        <v>3</v>
      </c>
      <c r="AC13" s="103">
        <v>68</v>
      </c>
      <c r="AD13" s="103">
        <v>187</v>
      </c>
      <c r="AE13" s="103">
        <v>159</v>
      </c>
      <c r="AF13" s="103">
        <v>1</v>
      </c>
      <c r="AG13" s="103">
        <v>245</v>
      </c>
      <c r="AH13" s="103"/>
      <c r="AI13" s="110">
        <f t="shared" si="0"/>
        <v>123</v>
      </c>
      <c r="AJ13" s="111">
        <v>10000</v>
      </c>
      <c r="AK13" s="111">
        <f t="shared" si="3"/>
        <v>3690</v>
      </c>
      <c r="AL13" s="112">
        <f t="shared" si="1"/>
        <v>0.36899999999999999</v>
      </c>
      <c r="AM13" s="113">
        <f t="shared" si="2"/>
        <v>6310</v>
      </c>
    </row>
    <row r="14" spans="1:39" ht="20">
      <c r="A14" s="326">
        <v>12</v>
      </c>
      <c r="B14" s="109" t="s">
        <v>53</v>
      </c>
      <c r="C14" s="98" t="s">
        <v>322</v>
      </c>
      <c r="D14" s="103">
        <v>6</v>
      </c>
      <c r="E14" s="103">
        <v>3</v>
      </c>
      <c r="F14" s="103">
        <v>1</v>
      </c>
      <c r="G14" s="103">
        <v>39</v>
      </c>
      <c r="H14" s="103">
        <v>385</v>
      </c>
      <c r="I14" s="103">
        <v>180</v>
      </c>
      <c r="J14" s="103">
        <v>128</v>
      </c>
      <c r="K14" s="103">
        <v>205</v>
      </c>
      <c r="L14" s="103">
        <v>123</v>
      </c>
      <c r="M14" s="103">
        <v>12</v>
      </c>
      <c r="N14" s="103">
        <v>2</v>
      </c>
      <c r="O14" s="103">
        <v>0</v>
      </c>
      <c r="P14" s="103">
        <v>303</v>
      </c>
      <c r="Q14" s="103">
        <v>180</v>
      </c>
      <c r="R14" s="103">
        <v>109</v>
      </c>
      <c r="S14" s="103">
        <v>189</v>
      </c>
      <c r="T14" s="103">
        <v>252</v>
      </c>
      <c r="U14" s="103">
        <v>92</v>
      </c>
      <c r="V14" s="103">
        <v>5</v>
      </c>
      <c r="W14" s="103">
        <v>14</v>
      </c>
      <c r="X14" s="103">
        <v>182</v>
      </c>
      <c r="Y14" s="103">
        <v>89</v>
      </c>
      <c r="Z14" s="103">
        <v>91</v>
      </c>
      <c r="AA14" s="103">
        <v>240</v>
      </c>
      <c r="AB14" s="103">
        <v>53</v>
      </c>
      <c r="AC14" s="103">
        <v>66</v>
      </c>
      <c r="AD14" s="103">
        <v>195</v>
      </c>
      <c r="AE14" s="103">
        <v>116</v>
      </c>
      <c r="AF14" s="103">
        <v>247</v>
      </c>
      <c r="AG14" s="103">
        <v>110</v>
      </c>
      <c r="AH14" s="103"/>
      <c r="AI14" s="110">
        <f t="shared" si="0"/>
        <v>120.56666666666666</v>
      </c>
      <c r="AJ14" s="111">
        <v>10000</v>
      </c>
      <c r="AK14" s="111">
        <f t="shared" si="3"/>
        <v>3617</v>
      </c>
      <c r="AL14" s="112">
        <f t="shared" si="1"/>
        <v>0.36170000000000002</v>
      </c>
      <c r="AM14" s="113">
        <f t="shared" si="2"/>
        <v>6383</v>
      </c>
    </row>
    <row r="15" spans="1:39" ht="20">
      <c r="A15" s="326">
        <v>13</v>
      </c>
      <c r="B15" s="99" t="s">
        <v>62</v>
      </c>
      <c r="C15" s="98" t="s">
        <v>63</v>
      </c>
      <c r="D15" s="103">
        <v>168</v>
      </c>
      <c r="E15" s="103">
        <v>375</v>
      </c>
      <c r="F15" s="103">
        <v>251</v>
      </c>
      <c r="G15" s="103">
        <v>292</v>
      </c>
      <c r="H15" s="103">
        <v>1</v>
      </c>
      <c r="I15" s="103">
        <v>3</v>
      </c>
      <c r="J15" s="103">
        <v>2</v>
      </c>
      <c r="K15" s="103">
        <v>0</v>
      </c>
      <c r="L15" s="103">
        <v>0</v>
      </c>
      <c r="M15" s="103">
        <v>1</v>
      </c>
      <c r="N15" s="103">
        <v>283</v>
      </c>
      <c r="O15" s="103">
        <v>3</v>
      </c>
      <c r="P15" s="103">
        <v>312</v>
      </c>
      <c r="Q15" s="103">
        <v>21</v>
      </c>
      <c r="R15" s="103">
        <v>68</v>
      </c>
      <c r="S15" s="103">
        <v>0</v>
      </c>
      <c r="T15" s="103">
        <v>61</v>
      </c>
      <c r="U15" s="103">
        <v>316</v>
      </c>
      <c r="V15" s="103">
        <v>142</v>
      </c>
      <c r="W15" s="103">
        <v>0</v>
      </c>
      <c r="X15" s="103">
        <v>0</v>
      </c>
      <c r="Y15" s="103">
        <v>109</v>
      </c>
      <c r="Z15" s="103">
        <v>0</v>
      </c>
      <c r="AA15" s="103">
        <v>12</v>
      </c>
      <c r="AB15" s="103">
        <v>10</v>
      </c>
      <c r="AC15" s="103">
        <v>405</v>
      </c>
      <c r="AD15" s="103">
        <v>180</v>
      </c>
      <c r="AE15" s="103">
        <v>189</v>
      </c>
      <c r="AF15" s="103">
        <v>340</v>
      </c>
      <c r="AG15" s="103">
        <v>69</v>
      </c>
      <c r="AH15" s="103"/>
      <c r="AI15" s="110">
        <f t="shared" si="0"/>
        <v>120.43333333333334</v>
      </c>
      <c r="AJ15" s="111">
        <v>10000</v>
      </c>
      <c r="AK15" s="111">
        <f t="shared" si="3"/>
        <v>3613</v>
      </c>
      <c r="AL15" s="112">
        <f t="shared" si="1"/>
        <v>0.36130000000000001</v>
      </c>
      <c r="AM15" s="113">
        <f t="shared" si="2"/>
        <v>6387</v>
      </c>
    </row>
    <row r="16" spans="1:39" ht="20">
      <c r="A16" s="326">
        <v>14</v>
      </c>
      <c r="B16" s="99" t="s">
        <v>60</v>
      </c>
      <c r="C16" s="98" t="s">
        <v>323</v>
      </c>
      <c r="D16" s="103">
        <v>4</v>
      </c>
      <c r="E16" s="103">
        <v>1</v>
      </c>
      <c r="F16" s="103">
        <v>0</v>
      </c>
      <c r="G16" s="103">
        <v>11</v>
      </c>
      <c r="H16" s="103">
        <v>15</v>
      </c>
      <c r="I16" s="103">
        <v>98</v>
      </c>
      <c r="J16" s="103">
        <v>246</v>
      </c>
      <c r="K16" s="103">
        <v>230</v>
      </c>
      <c r="L16" s="103">
        <v>385</v>
      </c>
      <c r="M16" s="103">
        <v>11</v>
      </c>
      <c r="N16" s="103">
        <v>2</v>
      </c>
      <c r="O16" s="103">
        <v>0</v>
      </c>
      <c r="P16" s="103">
        <v>170</v>
      </c>
      <c r="Q16" s="103">
        <v>287</v>
      </c>
      <c r="R16" s="103">
        <v>224</v>
      </c>
      <c r="S16" s="103">
        <v>35</v>
      </c>
      <c r="T16" s="103">
        <v>164</v>
      </c>
      <c r="U16" s="103">
        <v>329</v>
      </c>
      <c r="V16" s="103">
        <v>142</v>
      </c>
      <c r="W16" s="103">
        <v>1</v>
      </c>
      <c r="X16" s="103">
        <v>1</v>
      </c>
      <c r="Y16" s="103">
        <v>0</v>
      </c>
      <c r="Z16" s="103">
        <v>1</v>
      </c>
      <c r="AA16" s="103">
        <v>196</v>
      </c>
      <c r="AB16" s="103">
        <v>3</v>
      </c>
      <c r="AC16" s="103">
        <v>120</v>
      </c>
      <c r="AD16" s="103">
        <v>134</v>
      </c>
      <c r="AE16" s="103">
        <v>43</v>
      </c>
      <c r="AF16" s="103">
        <v>227</v>
      </c>
      <c r="AG16" s="103">
        <v>204</v>
      </c>
      <c r="AH16" s="103"/>
      <c r="AI16" s="110">
        <f t="shared" si="0"/>
        <v>109.46666666666667</v>
      </c>
      <c r="AJ16" s="111">
        <v>10000</v>
      </c>
      <c r="AK16" s="111">
        <f t="shared" si="3"/>
        <v>3284</v>
      </c>
      <c r="AL16" s="112">
        <f t="shared" si="1"/>
        <v>0.32840000000000003</v>
      </c>
      <c r="AM16" s="113">
        <f t="shared" si="2"/>
        <v>6716</v>
      </c>
    </row>
    <row r="17" spans="1:39" ht="20">
      <c r="A17" s="326">
        <v>15</v>
      </c>
      <c r="B17" s="99" t="s">
        <v>51</v>
      </c>
      <c r="C17" s="98" t="s">
        <v>165</v>
      </c>
      <c r="D17" s="103">
        <v>4</v>
      </c>
      <c r="E17" s="103">
        <v>1</v>
      </c>
      <c r="F17" s="103">
        <v>1</v>
      </c>
      <c r="G17" s="103">
        <v>65</v>
      </c>
      <c r="H17" s="103">
        <v>469</v>
      </c>
      <c r="I17" s="103">
        <v>382</v>
      </c>
      <c r="J17" s="103">
        <v>275</v>
      </c>
      <c r="K17" s="103">
        <v>176</v>
      </c>
      <c r="L17" s="103">
        <v>0</v>
      </c>
      <c r="M17" s="103">
        <v>13</v>
      </c>
      <c r="N17" s="103">
        <v>2</v>
      </c>
      <c r="O17" s="103">
        <v>0</v>
      </c>
      <c r="P17" s="103">
        <v>324</v>
      </c>
      <c r="Q17" s="103">
        <v>146</v>
      </c>
      <c r="R17" s="103">
        <v>124</v>
      </c>
      <c r="S17" s="103">
        <v>189</v>
      </c>
      <c r="T17" s="103">
        <v>109</v>
      </c>
      <c r="U17" s="103">
        <v>302</v>
      </c>
      <c r="V17" s="103">
        <v>109</v>
      </c>
      <c r="W17" s="103">
        <v>12</v>
      </c>
      <c r="X17" s="103">
        <v>90</v>
      </c>
      <c r="Y17" s="103">
        <v>68</v>
      </c>
      <c r="Z17" s="103">
        <v>218</v>
      </c>
      <c r="AA17" s="103">
        <v>0</v>
      </c>
      <c r="AB17" s="103">
        <v>0</v>
      </c>
      <c r="AC17" s="103">
        <v>0</v>
      </c>
      <c r="AD17" s="103">
        <v>0</v>
      </c>
      <c r="AE17" s="103">
        <v>13</v>
      </c>
      <c r="AF17" s="103">
        <v>1</v>
      </c>
      <c r="AG17" s="103">
        <v>0</v>
      </c>
      <c r="AH17" s="103"/>
      <c r="AI17" s="110">
        <f t="shared" si="0"/>
        <v>103.1</v>
      </c>
      <c r="AJ17" s="111">
        <v>10000</v>
      </c>
      <c r="AK17" s="111">
        <f t="shared" si="3"/>
        <v>3093</v>
      </c>
      <c r="AL17" s="112">
        <f t="shared" si="1"/>
        <v>0.30930000000000002</v>
      </c>
      <c r="AM17" s="113">
        <f t="shared" si="2"/>
        <v>6907</v>
      </c>
    </row>
    <row r="18" spans="1:39" ht="20">
      <c r="A18" s="326">
        <v>16</v>
      </c>
      <c r="B18" s="200" t="s">
        <v>41</v>
      </c>
      <c r="C18" s="98" t="s">
        <v>42</v>
      </c>
      <c r="D18" s="103">
        <v>0</v>
      </c>
      <c r="E18" s="103">
        <v>0</v>
      </c>
      <c r="F18" s="103">
        <v>0</v>
      </c>
      <c r="G18" s="103">
        <v>0</v>
      </c>
      <c r="H18" s="103">
        <v>2</v>
      </c>
      <c r="I18" s="103">
        <v>246</v>
      </c>
      <c r="J18" s="103">
        <v>131</v>
      </c>
      <c r="K18" s="103">
        <v>254</v>
      </c>
      <c r="L18" s="103">
        <v>78</v>
      </c>
      <c r="M18" s="103">
        <v>0</v>
      </c>
      <c r="N18" s="103">
        <v>10</v>
      </c>
      <c r="O18" s="103">
        <v>3</v>
      </c>
      <c r="P18" s="103">
        <v>234</v>
      </c>
      <c r="Q18" s="103">
        <v>235</v>
      </c>
      <c r="R18" s="103">
        <v>215</v>
      </c>
      <c r="S18" s="103">
        <v>279</v>
      </c>
      <c r="T18" s="103">
        <v>91</v>
      </c>
      <c r="U18" s="103">
        <v>313</v>
      </c>
      <c r="V18" s="103">
        <v>215</v>
      </c>
      <c r="W18" s="103">
        <v>12</v>
      </c>
      <c r="X18" s="103">
        <v>90</v>
      </c>
      <c r="Y18" s="103">
        <v>162</v>
      </c>
      <c r="Z18" s="103">
        <v>246</v>
      </c>
      <c r="AA18" s="103">
        <v>65</v>
      </c>
      <c r="AB18" s="103">
        <v>54</v>
      </c>
      <c r="AC18" s="103">
        <v>12</v>
      </c>
      <c r="AD18" s="103">
        <v>0</v>
      </c>
      <c r="AE18" s="103">
        <v>0</v>
      </c>
      <c r="AF18" s="103">
        <v>3</v>
      </c>
      <c r="AG18" s="103">
        <v>2</v>
      </c>
      <c r="AH18" s="103"/>
      <c r="AI18" s="110">
        <f t="shared" si="0"/>
        <v>98.4</v>
      </c>
      <c r="AJ18" s="111">
        <v>10000</v>
      </c>
      <c r="AK18" s="111">
        <f t="shared" si="3"/>
        <v>2952</v>
      </c>
      <c r="AL18" s="112">
        <f t="shared" si="1"/>
        <v>0.29520000000000002</v>
      </c>
      <c r="AM18" s="201">
        <v>3334</v>
      </c>
    </row>
    <row r="19" spans="1:39" ht="20">
      <c r="A19" s="326">
        <v>18</v>
      </c>
      <c r="B19" s="99" t="s">
        <v>64</v>
      </c>
      <c r="C19" s="98" t="s">
        <v>311</v>
      </c>
      <c r="D19" s="103">
        <v>0</v>
      </c>
      <c r="E19" s="103">
        <v>0</v>
      </c>
      <c r="F19" s="103">
        <v>11</v>
      </c>
      <c r="G19" s="103">
        <v>2</v>
      </c>
      <c r="H19" s="103">
        <v>6</v>
      </c>
      <c r="I19" s="103">
        <v>3</v>
      </c>
      <c r="J19" s="103">
        <v>282</v>
      </c>
      <c r="K19" s="103">
        <v>185</v>
      </c>
      <c r="L19" s="103">
        <v>0</v>
      </c>
      <c r="M19" s="103">
        <v>143</v>
      </c>
      <c r="N19" s="103">
        <v>0</v>
      </c>
      <c r="O19" s="103">
        <v>0</v>
      </c>
      <c r="P19" s="103">
        <v>11</v>
      </c>
      <c r="Q19" s="103">
        <v>4</v>
      </c>
      <c r="R19" s="103">
        <v>90</v>
      </c>
      <c r="S19" s="103">
        <v>320</v>
      </c>
      <c r="T19" s="103">
        <v>0</v>
      </c>
      <c r="U19" s="103">
        <v>0</v>
      </c>
      <c r="V19" s="103">
        <v>224</v>
      </c>
      <c r="W19" s="103">
        <v>0</v>
      </c>
      <c r="X19" s="103">
        <v>0</v>
      </c>
      <c r="Y19" s="103">
        <v>124</v>
      </c>
      <c r="Z19" s="103">
        <v>0</v>
      </c>
      <c r="AA19" s="103">
        <v>0</v>
      </c>
      <c r="AB19" s="103">
        <v>0</v>
      </c>
      <c r="AC19" s="103">
        <v>232</v>
      </c>
      <c r="AD19" s="103">
        <v>105</v>
      </c>
      <c r="AE19" s="103">
        <v>0</v>
      </c>
      <c r="AF19" s="103">
        <v>204</v>
      </c>
      <c r="AG19" s="103">
        <v>249</v>
      </c>
      <c r="AH19" s="103"/>
      <c r="AI19" s="110">
        <f t="shared" si="0"/>
        <v>73.166666666666671</v>
      </c>
      <c r="AJ19" s="111">
        <v>10000</v>
      </c>
      <c r="AK19" s="111">
        <f t="shared" si="3"/>
        <v>2195</v>
      </c>
      <c r="AL19" s="112">
        <f t="shared" si="1"/>
        <v>0.2195</v>
      </c>
      <c r="AM19" s="113">
        <f>AJ19-AK19</f>
        <v>7805</v>
      </c>
    </row>
    <row r="20" spans="1:39" ht="20">
      <c r="A20" s="326">
        <v>19</v>
      </c>
      <c r="B20" s="109" t="s">
        <v>26</v>
      </c>
      <c r="C20" s="98"/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  <c r="AA20" s="103">
        <v>0</v>
      </c>
      <c r="AB20" s="103">
        <v>0</v>
      </c>
      <c r="AC20" s="103">
        <v>0</v>
      </c>
      <c r="AD20" s="103">
        <v>0</v>
      </c>
      <c r="AE20" s="103">
        <v>0</v>
      </c>
      <c r="AF20" s="103">
        <v>0</v>
      </c>
      <c r="AG20" s="103">
        <v>0</v>
      </c>
      <c r="AH20" s="103">
        <v>0</v>
      </c>
      <c r="AI20" s="110">
        <f t="shared" si="0"/>
        <v>0</v>
      </c>
      <c r="AJ20" s="111">
        <v>10000</v>
      </c>
      <c r="AK20" s="111">
        <f t="shared" si="3"/>
        <v>0</v>
      </c>
      <c r="AL20" s="112">
        <f t="shared" si="1"/>
        <v>0</v>
      </c>
      <c r="AM20" s="113">
        <f>AJ20-AK20</f>
        <v>10000</v>
      </c>
    </row>
    <row r="21" spans="1:39" ht="20">
      <c r="A21" s="326">
        <v>20</v>
      </c>
      <c r="B21" s="109" t="s">
        <v>30</v>
      </c>
      <c r="C21" s="98"/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  <c r="AA21" s="103">
        <v>0</v>
      </c>
      <c r="AB21" s="103">
        <v>0</v>
      </c>
      <c r="AC21" s="103">
        <v>0</v>
      </c>
      <c r="AD21" s="103">
        <v>0</v>
      </c>
      <c r="AE21" s="103">
        <v>0</v>
      </c>
      <c r="AF21" s="103">
        <v>0</v>
      </c>
      <c r="AG21" s="103">
        <v>0</v>
      </c>
      <c r="AH21" s="103">
        <v>0</v>
      </c>
      <c r="AI21" s="110">
        <f t="shared" si="0"/>
        <v>0</v>
      </c>
      <c r="AJ21" s="111">
        <v>10000</v>
      </c>
      <c r="AK21" s="111">
        <f t="shared" si="3"/>
        <v>0</v>
      </c>
      <c r="AL21" s="112">
        <f t="shared" si="1"/>
        <v>0</v>
      </c>
      <c r="AM21" s="113">
        <f>AJ21-AK21</f>
        <v>10000</v>
      </c>
    </row>
    <row r="22" spans="1:39" ht="20">
      <c r="A22" s="326">
        <v>21</v>
      </c>
      <c r="B22" s="337" t="s">
        <v>32</v>
      </c>
      <c r="C22" s="334"/>
      <c r="D22" s="335">
        <v>0</v>
      </c>
      <c r="E22" s="335">
        <v>0</v>
      </c>
      <c r="F22" s="335">
        <v>0</v>
      </c>
      <c r="G22" s="335">
        <v>0</v>
      </c>
      <c r="H22" s="335">
        <v>0</v>
      </c>
      <c r="I22" s="335">
        <v>0</v>
      </c>
      <c r="J22" s="335">
        <v>0</v>
      </c>
      <c r="K22" s="335">
        <v>0</v>
      </c>
      <c r="L22" s="335">
        <v>0</v>
      </c>
      <c r="M22" s="335">
        <v>0</v>
      </c>
      <c r="N22" s="335">
        <v>0</v>
      </c>
      <c r="O22" s="335">
        <v>0</v>
      </c>
      <c r="P22" s="335">
        <v>0</v>
      </c>
      <c r="Q22" s="335">
        <v>0</v>
      </c>
      <c r="R22" s="335">
        <v>0</v>
      </c>
      <c r="S22" s="335">
        <v>0</v>
      </c>
      <c r="T22" s="335">
        <v>0</v>
      </c>
      <c r="U22" s="335">
        <v>0</v>
      </c>
      <c r="V22" s="335">
        <v>0</v>
      </c>
      <c r="W22" s="335">
        <v>0</v>
      </c>
      <c r="X22" s="335">
        <v>0</v>
      </c>
      <c r="Y22" s="335">
        <v>0</v>
      </c>
      <c r="Z22" s="335">
        <v>0</v>
      </c>
      <c r="AA22" s="335">
        <v>0</v>
      </c>
      <c r="AB22" s="335">
        <v>0</v>
      </c>
      <c r="AC22" s="335">
        <v>0</v>
      </c>
      <c r="AD22" s="335">
        <v>0</v>
      </c>
      <c r="AE22" s="335">
        <v>0</v>
      </c>
      <c r="AF22" s="335">
        <v>0</v>
      </c>
      <c r="AG22" s="335">
        <v>0</v>
      </c>
      <c r="AH22" s="335">
        <v>0</v>
      </c>
      <c r="AI22" s="233">
        <f t="shared" si="0"/>
        <v>0</v>
      </c>
      <c r="AJ22" s="325">
        <v>10000</v>
      </c>
      <c r="AK22" s="111">
        <f t="shared" si="3"/>
        <v>0</v>
      </c>
      <c r="AL22" s="112">
        <f t="shared" si="1"/>
        <v>0</v>
      </c>
      <c r="AM22" s="235">
        <f>AJ22-AK22</f>
        <v>10000</v>
      </c>
    </row>
    <row r="23" spans="1:39" ht="20">
      <c r="A23" s="326">
        <v>17</v>
      </c>
      <c r="B23" s="114" t="s">
        <v>56</v>
      </c>
      <c r="C23" s="102" t="s">
        <v>57</v>
      </c>
      <c r="D23" s="104"/>
      <c r="E23" s="104"/>
      <c r="F23" s="105"/>
      <c r="G23" s="105"/>
      <c r="H23" s="105"/>
      <c r="I23" s="104"/>
      <c r="J23" s="104"/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10" t="e">
        <f t="shared" si="0"/>
        <v>#DIV/0!</v>
      </c>
      <c r="AJ23" s="111">
        <v>10000</v>
      </c>
      <c r="AK23" s="111">
        <f t="shared" si="3"/>
        <v>0</v>
      </c>
      <c r="AL23" s="112">
        <f t="shared" si="1"/>
        <v>0</v>
      </c>
      <c r="AM23" s="113">
        <f>AJ23-AK23</f>
        <v>10000</v>
      </c>
    </row>
    <row r="24" spans="1:39" s="116" customFormat="1" ht="28.5" customHeight="1">
      <c r="C24" s="124" t="s">
        <v>70</v>
      </c>
      <c r="D24" s="118">
        <f t="shared" ref="D24:R24" si="4">SUM(D6:D21)</f>
        <v>1211</v>
      </c>
      <c r="E24" s="118">
        <f t="shared" si="4"/>
        <v>566</v>
      </c>
      <c r="F24" s="118">
        <f t="shared" si="4"/>
        <v>556</v>
      </c>
      <c r="G24" s="118">
        <f t="shared" si="4"/>
        <v>1347</v>
      </c>
      <c r="H24" s="118">
        <f t="shared" si="4"/>
        <v>2860</v>
      </c>
      <c r="I24" s="118">
        <f t="shared" si="4"/>
        <v>2855</v>
      </c>
      <c r="J24" s="118">
        <f t="shared" si="4"/>
        <v>2898</v>
      </c>
      <c r="K24" s="118">
        <f t="shared" si="4"/>
        <v>2670</v>
      </c>
      <c r="L24" s="118">
        <f t="shared" si="4"/>
        <v>1556</v>
      </c>
      <c r="M24" s="118">
        <f t="shared" si="4"/>
        <v>943</v>
      </c>
      <c r="N24" s="118">
        <f t="shared" si="4"/>
        <v>813</v>
      </c>
      <c r="O24" s="118">
        <f t="shared" si="4"/>
        <v>947</v>
      </c>
      <c r="P24" s="118">
        <f t="shared" si="4"/>
        <v>3066</v>
      </c>
      <c r="Q24" s="118">
        <f t="shared" si="4"/>
        <v>1755</v>
      </c>
      <c r="R24" s="118">
        <f t="shared" si="4"/>
        <v>1714</v>
      </c>
      <c r="S24" s="118">
        <f>SUM(R6:R21)</f>
        <v>1714</v>
      </c>
      <c r="T24" s="118">
        <f>SUM(S6:S21)</f>
        <v>3180</v>
      </c>
      <c r="U24" s="118">
        <f>SUM(U6:U21)</f>
        <v>2977</v>
      </c>
      <c r="V24" s="118">
        <f>SUM(V6:V21)</f>
        <v>1584</v>
      </c>
      <c r="W24" s="118">
        <f>SUM(W6:W21)</f>
        <v>1785</v>
      </c>
      <c r="X24" s="118">
        <f>SUM(X6:X21)</f>
        <v>1076</v>
      </c>
      <c r="Y24" s="118">
        <f>SUM(Y6:Y21)</f>
        <v>1487</v>
      </c>
      <c r="Z24" s="118">
        <f>SUM(Z6:Z20)</f>
        <v>1818</v>
      </c>
      <c r="AA24" s="118">
        <f t="shared" ref="AA24:AH24" si="5">SUM(AA6:AA21)</f>
        <v>1156</v>
      </c>
      <c r="AB24" s="118">
        <f t="shared" si="5"/>
        <v>194</v>
      </c>
      <c r="AC24" s="118">
        <f t="shared" si="5"/>
        <v>2012</v>
      </c>
      <c r="AD24" s="118">
        <f t="shared" si="5"/>
        <v>2093</v>
      </c>
      <c r="AE24" s="118">
        <f t="shared" si="5"/>
        <v>1204</v>
      </c>
      <c r="AF24" s="118">
        <f t="shared" si="5"/>
        <v>2074</v>
      </c>
      <c r="AG24" s="118">
        <f t="shared" si="5"/>
        <v>1964</v>
      </c>
      <c r="AH24" s="118">
        <f t="shared" si="5"/>
        <v>0</v>
      </c>
      <c r="AI24" s="119" t="s">
        <v>66</v>
      </c>
      <c r="AJ24" s="121">
        <f>SUM(AJ6:AJ22)</f>
        <v>170000</v>
      </c>
      <c r="AK24" s="121">
        <f>SUM(AK3:AK21)</f>
        <v>67307</v>
      </c>
      <c r="AL24" s="122">
        <f t="shared" ref="AL24" si="6">AK24/AJ24</f>
        <v>0.39592352941176473</v>
      </c>
      <c r="AM24" s="119"/>
    </row>
    <row r="25" spans="1:39" s="116" customFormat="1" ht="28.5" customHeight="1">
      <c r="C25" s="124" t="s">
        <v>83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7">
        <v>3150</v>
      </c>
      <c r="AI25" s="331" t="s">
        <v>87</v>
      </c>
      <c r="AJ25" s="327">
        <f>AVERAGE(AJ6:AJ21)</f>
        <v>10000</v>
      </c>
      <c r="AK25" s="327">
        <f>AVERAGE(AK6:AK21)</f>
        <v>3267</v>
      </c>
    </row>
    <row r="26" spans="1:39" s="116" customFormat="1" ht="15">
      <c r="C26" s="124" t="s">
        <v>72</v>
      </c>
      <c r="D26" s="123">
        <f>D27/D28</f>
        <v>0.16819444444444445</v>
      </c>
      <c r="E26" s="123">
        <f t="shared" ref="E26:AH26" si="7">E27/E28</f>
        <v>7.8611111111111118E-2</v>
      </c>
      <c r="F26" s="123">
        <f t="shared" si="7"/>
        <v>7.722222222222222E-2</v>
      </c>
      <c r="G26" s="123">
        <f t="shared" si="7"/>
        <v>0.18708333333333332</v>
      </c>
      <c r="H26" s="123">
        <f>H27/H28</f>
        <v>0.3972222222222222</v>
      </c>
      <c r="I26" s="123">
        <f t="shared" si="7"/>
        <v>0.39652777777777776</v>
      </c>
      <c r="J26" s="123">
        <f t="shared" si="7"/>
        <v>0.40250000000000002</v>
      </c>
      <c r="K26" s="123">
        <f t="shared" si="7"/>
        <v>0.37083333333333335</v>
      </c>
      <c r="L26" s="123">
        <f t="shared" si="7"/>
        <v>0.21611111111111111</v>
      </c>
      <c r="M26" s="123">
        <f t="shared" si="7"/>
        <v>0.13097222222222221</v>
      </c>
      <c r="N26" s="123">
        <f t="shared" si="7"/>
        <v>0.11291666666666667</v>
      </c>
      <c r="O26" s="123">
        <f t="shared" si="7"/>
        <v>0.13152777777777777</v>
      </c>
      <c r="P26" s="123">
        <f t="shared" si="7"/>
        <v>0.42583333333333334</v>
      </c>
      <c r="Q26" s="123">
        <f t="shared" si="7"/>
        <v>0.24374999999999999</v>
      </c>
      <c r="R26" s="123">
        <f t="shared" si="7"/>
        <v>0.23805555555555555</v>
      </c>
      <c r="S26" s="123">
        <f>S27/S28</f>
        <v>0.23805555555555555</v>
      </c>
      <c r="T26" s="123">
        <f t="shared" si="7"/>
        <v>0.44166666666666665</v>
      </c>
      <c r="U26" s="123">
        <f t="shared" si="7"/>
        <v>0.41347222222222224</v>
      </c>
      <c r="V26" s="123">
        <f t="shared" si="7"/>
        <v>0.22</v>
      </c>
      <c r="W26" s="123">
        <f t="shared" si="7"/>
        <v>0.24791666666666667</v>
      </c>
      <c r="X26" s="123">
        <f t="shared" si="7"/>
        <v>0.14944444444444444</v>
      </c>
      <c r="Y26" s="123">
        <f t="shared" si="7"/>
        <v>0.20652777777777778</v>
      </c>
      <c r="Z26" s="123">
        <f t="shared" si="7"/>
        <v>0.26933333333333331</v>
      </c>
      <c r="AA26" s="123">
        <f t="shared" si="7"/>
        <v>0.16055555555555556</v>
      </c>
      <c r="AB26" s="123">
        <f t="shared" si="7"/>
        <v>2.6944444444444444E-2</v>
      </c>
      <c r="AC26" s="123">
        <f t="shared" si="7"/>
        <v>0.27944444444444444</v>
      </c>
      <c r="AD26" s="123">
        <f t="shared" si="7"/>
        <v>0.29069444444444442</v>
      </c>
      <c r="AE26" s="123">
        <f t="shared" si="7"/>
        <v>0.16722222222222222</v>
      </c>
      <c r="AF26" s="123">
        <f t="shared" si="7"/>
        <v>0.28805555555555556</v>
      </c>
      <c r="AG26" s="123">
        <f t="shared" si="7"/>
        <v>0.27277777777777779</v>
      </c>
      <c r="AH26" s="328">
        <f t="shared" si="7"/>
        <v>0</v>
      </c>
      <c r="AI26" s="331"/>
    </row>
    <row r="27" spans="1:39" s="116" customFormat="1" ht="15">
      <c r="C27" s="124" t="s">
        <v>75</v>
      </c>
      <c r="D27" s="118">
        <f t="shared" ref="D27:R27" si="8">AVERAGE(D6:D21)</f>
        <v>75.6875</v>
      </c>
      <c r="E27" s="118">
        <f t="shared" si="8"/>
        <v>35.375</v>
      </c>
      <c r="F27" s="118">
        <f t="shared" si="8"/>
        <v>34.75</v>
      </c>
      <c r="G27" s="118">
        <f t="shared" si="8"/>
        <v>84.1875</v>
      </c>
      <c r="H27" s="118">
        <f t="shared" si="8"/>
        <v>178.75</v>
      </c>
      <c r="I27" s="118">
        <f t="shared" si="8"/>
        <v>178.4375</v>
      </c>
      <c r="J27" s="118">
        <f t="shared" si="8"/>
        <v>181.125</v>
      </c>
      <c r="K27" s="118">
        <f t="shared" si="8"/>
        <v>166.875</v>
      </c>
      <c r="L27" s="118">
        <f t="shared" si="8"/>
        <v>97.25</v>
      </c>
      <c r="M27" s="118">
        <f t="shared" si="8"/>
        <v>58.9375</v>
      </c>
      <c r="N27" s="118">
        <f t="shared" si="8"/>
        <v>50.8125</v>
      </c>
      <c r="O27" s="118">
        <f t="shared" si="8"/>
        <v>59.1875</v>
      </c>
      <c r="P27" s="118">
        <f t="shared" si="8"/>
        <v>191.625</v>
      </c>
      <c r="Q27" s="118">
        <f t="shared" si="8"/>
        <v>109.6875</v>
      </c>
      <c r="R27" s="118">
        <f t="shared" si="8"/>
        <v>107.125</v>
      </c>
      <c r="S27" s="118">
        <f>AVERAGE(R6:R21)</f>
        <v>107.125</v>
      </c>
      <c r="T27" s="118">
        <f>AVERAGE(S6:S21)</f>
        <v>198.75</v>
      </c>
      <c r="U27" s="118">
        <f>AVERAGE(U6:U21)</f>
        <v>186.0625</v>
      </c>
      <c r="V27" s="118">
        <f>AVERAGE(V6:V21)</f>
        <v>99</v>
      </c>
      <c r="W27" s="118">
        <f>AVERAGE(W6:W21)</f>
        <v>111.5625</v>
      </c>
      <c r="X27" s="118">
        <f>AVERAGE(X6:X21)</f>
        <v>67.25</v>
      </c>
      <c r="Y27" s="118">
        <f>AVERAGE(Y6:Y21)</f>
        <v>92.9375</v>
      </c>
      <c r="Z27" s="118">
        <f>AVERAGE(Z6:Z20)</f>
        <v>121.2</v>
      </c>
      <c r="AA27" s="118">
        <f t="shared" ref="AA27:AH27" si="9">AVERAGE(AA6:AA21)</f>
        <v>72.25</v>
      </c>
      <c r="AB27" s="118">
        <f t="shared" si="9"/>
        <v>12.125</v>
      </c>
      <c r="AC27" s="118">
        <f t="shared" si="9"/>
        <v>125.75</v>
      </c>
      <c r="AD27" s="118">
        <f t="shared" si="9"/>
        <v>130.8125</v>
      </c>
      <c r="AE27" s="118">
        <f t="shared" si="9"/>
        <v>75.25</v>
      </c>
      <c r="AF27" s="118">
        <f t="shared" si="9"/>
        <v>129.625</v>
      </c>
      <c r="AG27" s="118">
        <f t="shared" si="9"/>
        <v>122.75</v>
      </c>
      <c r="AH27" s="329">
        <f t="shared" si="9"/>
        <v>0</v>
      </c>
      <c r="AI27" s="332"/>
    </row>
    <row r="28" spans="1:39" s="116" customFormat="1" ht="15">
      <c r="C28" s="124" t="s">
        <v>74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  <c r="AH28" s="330">
        <v>450</v>
      </c>
      <c r="AI28" s="126"/>
    </row>
  </sheetData>
  <mergeCells count="1">
    <mergeCell ref="D1:AG1"/>
  </mergeCells>
  <phoneticPr fontId="21" type="noConversion"/>
  <conditionalFormatting sqref="B8">
    <cfRule type="duplicateValues" dxfId="147" priority="6"/>
  </conditionalFormatting>
  <conditionalFormatting sqref="B10:B11 B7">
    <cfRule type="duplicateValues" dxfId="146" priority="7"/>
  </conditionalFormatting>
  <conditionalFormatting sqref="B13">
    <cfRule type="duplicateValues" dxfId="145" priority="4"/>
  </conditionalFormatting>
  <conditionalFormatting sqref="B14">
    <cfRule type="duplicateValues" dxfId="144" priority="5"/>
  </conditionalFormatting>
  <conditionalFormatting sqref="B16:B17 B12">
    <cfRule type="duplicateValues" dxfId="143" priority="10"/>
  </conditionalFormatting>
  <conditionalFormatting sqref="B18:B19 B22:B23">
    <cfRule type="duplicateValues" dxfId="142" priority="8"/>
  </conditionalFormatting>
  <conditionalFormatting sqref="B21 B15 B9 B3:B6">
    <cfRule type="duplicateValues" dxfId="141" priority="9"/>
  </conditionalFormatting>
  <conditionalFormatting sqref="D3:AH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M3:AM23">
    <cfRule type="cellIs" dxfId="140" priority="2" operator="lessThan">
      <formula>0</formula>
    </cfRule>
    <cfRule type="cellIs" dxfId="139" priority="3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1DB7-4AD4-4A47-8685-466E9208F3A4}">
  <dimension ref="A1:AM28"/>
  <sheetViews>
    <sheetView topLeftCell="B1" workbookViewId="0">
      <pane xSplit="2" ySplit="2" topLeftCell="AA3" activePane="bottomRight" state="frozen"/>
      <selection activeCell="B1" sqref="B1"/>
      <selection pane="topRight" activeCell="D1" sqref="D1"/>
      <selection pane="bottomLeft" activeCell="B3" sqref="B3"/>
      <selection pane="bottomRight" activeCell="C1" sqref="C1"/>
    </sheetView>
  </sheetViews>
  <sheetFormatPr defaultRowHeight="14.5"/>
  <cols>
    <col min="2" max="2" width="15.26953125" customWidth="1"/>
    <col min="3" max="3" width="35.08984375" bestFit="1" customWidth="1"/>
    <col min="4" max="31" width="11.7265625" bestFit="1" customWidth="1"/>
    <col min="32" max="32" width="9.54296875" bestFit="1" customWidth="1"/>
    <col min="33" max="33" width="9.54296875" customWidth="1"/>
    <col min="34" max="34" width="9.08984375" bestFit="1" customWidth="1"/>
    <col min="35" max="35" width="10.453125" bestFit="1" customWidth="1"/>
    <col min="36" max="36" width="21.81640625" bestFit="1" customWidth="1"/>
    <col min="37" max="37" width="23.6328125" bestFit="1" customWidth="1"/>
    <col min="38" max="38" width="17.08984375" bestFit="1" customWidth="1"/>
    <col min="39" max="39" width="21.81640625" bestFit="1" customWidth="1"/>
  </cols>
  <sheetData>
    <row r="1" spans="1:39" ht="35.25" customHeight="1">
      <c r="C1" s="127" t="s">
        <v>82</v>
      </c>
      <c r="D1" s="365" t="s">
        <v>76</v>
      </c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157"/>
    </row>
    <row r="2" spans="1:39" ht="75.5" customHeight="1">
      <c r="B2" s="318" t="s">
        <v>4</v>
      </c>
      <c r="C2" s="62" t="s">
        <v>5</v>
      </c>
      <c r="D2" s="342" t="s">
        <v>326</v>
      </c>
      <c r="E2" s="342" t="s">
        <v>327</v>
      </c>
      <c r="F2" s="342" t="s">
        <v>328</v>
      </c>
      <c r="G2" s="342" t="s">
        <v>329</v>
      </c>
      <c r="H2" s="342" t="s">
        <v>330</v>
      </c>
      <c r="I2" s="342" t="s">
        <v>331</v>
      </c>
      <c r="J2" s="342" t="s">
        <v>332</v>
      </c>
      <c r="K2" s="342" t="s">
        <v>333</v>
      </c>
      <c r="L2" s="342" t="s">
        <v>334</v>
      </c>
      <c r="M2" s="342" t="s">
        <v>335</v>
      </c>
      <c r="N2" s="342" t="s">
        <v>336</v>
      </c>
      <c r="O2" s="342" t="s">
        <v>337</v>
      </c>
      <c r="P2" s="342" t="s">
        <v>338</v>
      </c>
      <c r="Q2" s="342" t="s">
        <v>339</v>
      </c>
      <c r="R2" s="342" t="s">
        <v>340</v>
      </c>
      <c r="S2" s="342" t="s">
        <v>341</v>
      </c>
      <c r="T2" s="342" t="s">
        <v>342</v>
      </c>
      <c r="U2" s="342" t="s">
        <v>343</v>
      </c>
      <c r="V2" s="342" t="s">
        <v>344</v>
      </c>
      <c r="W2" s="342" t="s">
        <v>345</v>
      </c>
      <c r="X2" s="342" t="s">
        <v>346</v>
      </c>
      <c r="Y2" s="342" t="s">
        <v>347</v>
      </c>
      <c r="Z2" s="342" t="s">
        <v>348</v>
      </c>
      <c r="AA2" s="342" t="s">
        <v>349</v>
      </c>
      <c r="AB2" s="342" t="s">
        <v>350</v>
      </c>
      <c r="AC2" s="342" t="s">
        <v>351</v>
      </c>
      <c r="AD2" s="342" t="s">
        <v>352</v>
      </c>
      <c r="AE2" s="342" t="s">
        <v>353</v>
      </c>
      <c r="AF2" s="342" t="s">
        <v>354</v>
      </c>
      <c r="AG2" s="342" t="s">
        <v>355</v>
      </c>
      <c r="AH2" s="342" t="s">
        <v>356</v>
      </c>
      <c r="AI2" s="320" t="s">
        <v>79</v>
      </c>
      <c r="AJ2" s="321" t="s">
        <v>18</v>
      </c>
      <c r="AK2" s="322" t="s">
        <v>77</v>
      </c>
      <c r="AL2" s="323" t="s">
        <v>20</v>
      </c>
      <c r="AM2" s="324" t="s">
        <v>78</v>
      </c>
    </row>
    <row r="3" spans="1:39" ht="20">
      <c r="A3" s="326">
        <v>1</v>
      </c>
      <c r="B3" s="109" t="s">
        <v>26</v>
      </c>
      <c r="C3" s="98"/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03">
        <v>0</v>
      </c>
      <c r="AI3" s="110">
        <f t="shared" ref="AI3:AI23" si="0">AVERAGE(D3:AG3)</f>
        <v>0</v>
      </c>
      <c r="AJ3" s="111">
        <v>10000</v>
      </c>
      <c r="AK3" s="111">
        <f>SUM(D3:AH3)</f>
        <v>0</v>
      </c>
      <c r="AL3" s="112">
        <f t="shared" ref="AL3:AL23" si="1">AK3/AJ3</f>
        <v>0</v>
      </c>
      <c r="AM3" s="113">
        <f t="shared" ref="AM3:AM10" si="2">AJ3-AK3</f>
        <v>10000</v>
      </c>
    </row>
    <row r="4" spans="1:39" ht="20">
      <c r="A4" s="326">
        <v>2</v>
      </c>
      <c r="B4" s="109" t="s">
        <v>30</v>
      </c>
      <c r="C4" s="98"/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03">
        <v>0</v>
      </c>
      <c r="AI4" s="110">
        <f t="shared" si="0"/>
        <v>0</v>
      </c>
      <c r="AJ4" s="111">
        <v>10000</v>
      </c>
      <c r="AK4" s="111">
        <f t="shared" ref="AK4:AK23" si="3">SUM(D4:AH4)</f>
        <v>0</v>
      </c>
      <c r="AL4" s="112">
        <f t="shared" si="1"/>
        <v>0</v>
      </c>
      <c r="AM4" s="113">
        <f t="shared" si="2"/>
        <v>10000</v>
      </c>
    </row>
    <row r="5" spans="1:39" ht="20">
      <c r="A5" s="326">
        <v>3</v>
      </c>
      <c r="B5" s="109" t="s">
        <v>32</v>
      </c>
      <c r="C5" s="98"/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03">
        <v>0</v>
      </c>
      <c r="AI5" s="110">
        <f t="shared" si="0"/>
        <v>0</v>
      </c>
      <c r="AJ5" s="111">
        <v>10000</v>
      </c>
      <c r="AK5" s="111">
        <f t="shared" si="3"/>
        <v>0</v>
      </c>
      <c r="AL5" s="112">
        <f t="shared" si="1"/>
        <v>0</v>
      </c>
      <c r="AM5" s="113">
        <f t="shared" si="2"/>
        <v>10000</v>
      </c>
    </row>
    <row r="6" spans="1:39" ht="20">
      <c r="A6" s="326">
        <v>4</v>
      </c>
      <c r="B6" s="99" t="s">
        <v>33</v>
      </c>
      <c r="C6" s="98" t="s">
        <v>34</v>
      </c>
      <c r="D6" s="103">
        <v>78</v>
      </c>
      <c r="E6" s="103">
        <v>65</v>
      </c>
      <c r="F6" s="103">
        <v>0</v>
      </c>
      <c r="G6" s="103">
        <v>10</v>
      </c>
      <c r="H6" s="103">
        <v>146</v>
      </c>
      <c r="I6" s="103">
        <v>119</v>
      </c>
      <c r="J6" s="103">
        <v>365</v>
      </c>
      <c r="K6" s="103">
        <v>448</v>
      </c>
      <c r="L6" s="103">
        <v>0</v>
      </c>
      <c r="M6" s="103">
        <v>1</v>
      </c>
      <c r="N6" s="103">
        <v>1</v>
      </c>
      <c r="O6" s="103">
        <v>0</v>
      </c>
      <c r="P6" s="103">
        <v>0</v>
      </c>
      <c r="Q6" s="103">
        <v>0</v>
      </c>
      <c r="R6" s="103">
        <v>137</v>
      </c>
      <c r="S6" s="103">
        <v>537</v>
      </c>
      <c r="T6" s="103">
        <v>131</v>
      </c>
      <c r="U6" s="103">
        <v>80</v>
      </c>
      <c r="V6" s="103">
        <v>46</v>
      </c>
      <c r="W6" s="103">
        <v>0</v>
      </c>
      <c r="X6" s="103">
        <v>0</v>
      </c>
      <c r="Y6" s="103">
        <v>205</v>
      </c>
      <c r="Z6" s="103">
        <v>1</v>
      </c>
      <c r="AA6" s="103">
        <v>202</v>
      </c>
      <c r="AB6" s="103">
        <v>191</v>
      </c>
      <c r="AC6" s="103">
        <v>347</v>
      </c>
      <c r="AD6" s="103">
        <v>221</v>
      </c>
      <c r="AE6" s="103">
        <v>225</v>
      </c>
      <c r="AF6" s="103">
        <v>0</v>
      </c>
      <c r="AG6" s="103">
        <v>0</v>
      </c>
      <c r="AH6" s="103">
        <v>26</v>
      </c>
      <c r="AI6" s="110">
        <f t="shared" si="0"/>
        <v>118.53333333333333</v>
      </c>
      <c r="AJ6" s="111">
        <v>10000</v>
      </c>
      <c r="AK6" s="111">
        <f t="shared" si="3"/>
        <v>3582</v>
      </c>
      <c r="AL6" s="112">
        <f t="shared" si="1"/>
        <v>0.35820000000000002</v>
      </c>
      <c r="AM6" s="113">
        <f t="shared" si="2"/>
        <v>6418</v>
      </c>
    </row>
    <row r="7" spans="1:39" ht="20.5" customHeight="1">
      <c r="A7" s="326">
        <v>5</v>
      </c>
      <c r="B7" s="99" t="s">
        <v>35</v>
      </c>
      <c r="C7" s="98" t="s">
        <v>36</v>
      </c>
      <c r="D7" s="103">
        <v>0</v>
      </c>
      <c r="E7" s="103">
        <v>0</v>
      </c>
      <c r="F7" s="103">
        <v>18</v>
      </c>
      <c r="G7" s="103">
        <v>242</v>
      </c>
      <c r="H7" s="103">
        <v>349</v>
      </c>
      <c r="I7" s="103">
        <v>128</v>
      </c>
      <c r="J7" s="103">
        <v>186</v>
      </c>
      <c r="K7" s="103">
        <v>3</v>
      </c>
      <c r="L7" s="103">
        <v>203</v>
      </c>
      <c r="M7" s="103">
        <v>0</v>
      </c>
      <c r="N7" s="103">
        <v>0</v>
      </c>
      <c r="O7" s="103">
        <v>0</v>
      </c>
      <c r="P7" s="103">
        <v>0</v>
      </c>
      <c r="Q7" s="103">
        <v>4</v>
      </c>
      <c r="R7" s="103">
        <v>303</v>
      </c>
      <c r="S7" s="103">
        <v>141</v>
      </c>
      <c r="T7" s="103">
        <v>277</v>
      </c>
      <c r="U7" s="103">
        <v>0</v>
      </c>
      <c r="V7" s="103">
        <v>115</v>
      </c>
      <c r="W7" s="103">
        <v>330</v>
      </c>
      <c r="X7" s="103">
        <v>1</v>
      </c>
      <c r="Y7" s="103">
        <v>0</v>
      </c>
      <c r="Z7" s="103">
        <v>33</v>
      </c>
      <c r="AA7" s="103">
        <v>545</v>
      </c>
      <c r="AB7" s="103">
        <v>184</v>
      </c>
      <c r="AC7" s="103">
        <v>325</v>
      </c>
      <c r="AD7" s="103">
        <v>0</v>
      </c>
      <c r="AE7" s="103">
        <v>0</v>
      </c>
      <c r="AF7" s="103">
        <v>0</v>
      </c>
      <c r="AG7" s="103">
        <v>10</v>
      </c>
      <c r="AH7" s="103">
        <v>242</v>
      </c>
      <c r="AI7" s="110">
        <f t="shared" si="0"/>
        <v>113.23333333333333</v>
      </c>
      <c r="AJ7" s="111">
        <v>10000</v>
      </c>
      <c r="AK7" s="111">
        <f t="shared" si="3"/>
        <v>3639</v>
      </c>
      <c r="AL7" s="112">
        <f t="shared" si="1"/>
        <v>0.3639</v>
      </c>
      <c r="AM7" s="113">
        <f t="shared" si="2"/>
        <v>6361</v>
      </c>
    </row>
    <row r="8" spans="1:39" ht="20">
      <c r="A8" s="326">
        <v>6</v>
      </c>
      <c r="B8" s="99" t="s">
        <v>37</v>
      </c>
      <c r="C8" s="98" t="s">
        <v>73</v>
      </c>
      <c r="D8" s="103">
        <v>328</v>
      </c>
      <c r="E8" s="103">
        <v>40</v>
      </c>
      <c r="F8" s="103">
        <v>19</v>
      </c>
      <c r="G8" s="103">
        <v>196</v>
      </c>
      <c r="H8" s="103">
        <v>347</v>
      </c>
      <c r="I8" s="103">
        <v>177</v>
      </c>
      <c r="J8" s="103">
        <v>92</v>
      </c>
      <c r="K8" s="103">
        <v>45</v>
      </c>
      <c r="L8" s="103">
        <v>202</v>
      </c>
      <c r="M8" s="103">
        <v>0</v>
      </c>
      <c r="N8" s="103">
        <v>1</v>
      </c>
      <c r="O8" s="103">
        <v>1</v>
      </c>
      <c r="P8" s="103">
        <v>1</v>
      </c>
      <c r="Q8" s="103">
        <v>5</v>
      </c>
      <c r="R8" s="103">
        <v>388</v>
      </c>
      <c r="S8" s="103">
        <v>188</v>
      </c>
      <c r="T8" s="103">
        <v>135</v>
      </c>
      <c r="U8" s="103">
        <v>0</v>
      </c>
      <c r="V8" s="103">
        <v>0</v>
      </c>
      <c r="W8" s="103">
        <v>0</v>
      </c>
      <c r="X8" s="103">
        <v>1</v>
      </c>
      <c r="Y8" s="103">
        <v>0</v>
      </c>
      <c r="Z8" s="103">
        <v>0</v>
      </c>
      <c r="AA8" s="103">
        <v>219</v>
      </c>
      <c r="AB8" s="103">
        <v>259</v>
      </c>
      <c r="AC8" s="103">
        <v>358</v>
      </c>
      <c r="AD8" s="103">
        <v>257</v>
      </c>
      <c r="AE8" s="103">
        <v>277</v>
      </c>
      <c r="AF8" s="103">
        <v>166</v>
      </c>
      <c r="AG8" s="103">
        <v>0</v>
      </c>
      <c r="AH8" s="103">
        <v>0</v>
      </c>
      <c r="AI8" s="110">
        <f t="shared" si="0"/>
        <v>123.4</v>
      </c>
      <c r="AJ8" s="111">
        <v>10000</v>
      </c>
      <c r="AK8" s="111">
        <f t="shared" si="3"/>
        <v>3702</v>
      </c>
      <c r="AL8" s="112">
        <f t="shared" si="1"/>
        <v>0.37019999999999997</v>
      </c>
      <c r="AM8" s="113">
        <f t="shared" si="2"/>
        <v>6298</v>
      </c>
    </row>
    <row r="9" spans="1:39" ht="20">
      <c r="A9" s="326">
        <v>7</v>
      </c>
      <c r="B9" s="99" t="s">
        <v>38</v>
      </c>
      <c r="C9" s="98" t="s">
        <v>39</v>
      </c>
      <c r="D9" s="103">
        <v>0</v>
      </c>
      <c r="E9" s="103">
        <v>148</v>
      </c>
      <c r="F9" s="103">
        <v>279</v>
      </c>
      <c r="G9" s="103">
        <v>177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134</v>
      </c>
      <c r="N9" s="103">
        <v>43</v>
      </c>
      <c r="O9" s="103">
        <v>6</v>
      </c>
      <c r="P9" s="103">
        <v>0</v>
      </c>
      <c r="Q9" s="103">
        <v>0</v>
      </c>
      <c r="R9" s="103">
        <v>126</v>
      </c>
      <c r="S9" s="103">
        <v>0</v>
      </c>
      <c r="T9" s="103">
        <v>104</v>
      </c>
      <c r="U9" s="103">
        <v>130</v>
      </c>
      <c r="V9" s="103">
        <v>75</v>
      </c>
      <c r="W9" s="103">
        <v>187</v>
      </c>
      <c r="X9" s="103">
        <v>230</v>
      </c>
      <c r="Y9" s="103">
        <v>86</v>
      </c>
      <c r="Z9" s="103">
        <v>11</v>
      </c>
      <c r="AA9" s="103">
        <v>0</v>
      </c>
      <c r="AB9" s="103">
        <v>61</v>
      </c>
      <c r="AC9" s="103">
        <v>249</v>
      </c>
      <c r="AD9" s="103">
        <v>283</v>
      </c>
      <c r="AE9" s="103">
        <v>147</v>
      </c>
      <c r="AF9" s="103">
        <v>152</v>
      </c>
      <c r="AG9" s="103">
        <v>300</v>
      </c>
      <c r="AH9" s="103">
        <v>6</v>
      </c>
      <c r="AI9" s="110">
        <f t="shared" si="0"/>
        <v>97.6</v>
      </c>
      <c r="AJ9" s="111">
        <v>10000</v>
      </c>
      <c r="AK9" s="111">
        <f t="shared" si="3"/>
        <v>2934</v>
      </c>
      <c r="AL9" s="112">
        <f t="shared" si="1"/>
        <v>0.29339999999999999</v>
      </c>
      <c r="AM9" s="113">
        <f t="shared" si="2"/>
        <v>7066</v>
      </c>
    </row>
    <row r="10" spans="1:39" ht="20">
      <c r="A10" s="326">
        <v>8</v>
      </c>
      <c r="B10" s="200" t="s">
        <v>40</v>
      </c>
      <c r="C10" s="98" t="s">
        <v>160</v>
      </c>
      <c r="D10" s="103">
        <v>0</v>
      </c>
      <c r="E10" s="103">
        <v>59</v>
      </c>
      <c r="F10" s="103">
        <v>241</v>
      </c>
      <c r="G10" s="103">
        <v>25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133</v>
      </c>
      <c r="N10" s="103">
        <v>44</v>
      </c>
      <c r="O10" s="103">
        <v>131</v>
      </c>
      <c r="P10" s="103">
        <v>0</v>
      </c>
      <c r="Q10" s="103">
        <v>0</v>
      </c>
      <c r="R10" s="103">
        <v>0</v>
      </c>
      <c r="S10" s="103">
        <v>195</v>
      </c>
      <c r="T10" s="103">
        <v>191</v>
      </c>
      <c r="U10" s="103">
        <v>11</v>
      </c>
      <c r="V10" s="103">
        <v>79</v>
      </c>
      <c r="W10" s="103">
        <v>251</v>
      </c>
      <c r="X10" s="103">
        <v>96</v>
      </c>
      <c r="Y10" s="103">
        <v>219</v>
      </c>
      <c r="Z10" s="103">
        <v>258</v>
      </c>
      <c r="AA10" s="103">
        <v>227</v>
      </c>
      <c r="AB10" s="103">
        <v>401</v>
      </c>
      <c r="AC10" s="103">
        <v>91</v>
      </c>
      <c r="AD10" s="103">
        <v>3</v>
      </c>
      <c r="AE10" s="103">
        <v>248</v>
      </c>
      <c r="AF10" s="103">
        <v>340</v>
      </c>
      <c r="AG10" s="103">
        <v>316</v>
      </c>
      <c r="AH10" s="103">
        <v>296</v>
      </c>
      <c r="AI10" s="110">
        <f t="shared" si="0"/>
        <v>118.63333333333334</v>
      </c>
      <c r="AJ10" s="111">
        <v>10000</v>
      </c>
      <c r="AK10" s="111">
        <f t="shared" si="3"/>
        <v>3855</v>
      </c>
      <c r="AL10" s="112">
        <f t="shared" si="1"/>
        <v>0.38550000000000001</v>
      </c>
      <c r="AM10" s="201">
        <f t="shared" si="2"/>
        <v>6145</v>
      </c>
    </row>
    <row r="11" spans="1:39" ht="20">
      <c r="A11" s="326">
        <v>9</v>
      </c>
      <c r="B11" s="200" t="s">
        <v>41</v>
      </c>
      <c r="C11" s="98" t="s">
        <v>42</v>
      </c>
      <c r="D11" s="103">
        <v>3</v>
      </c>
      <c r="E11" s="103">
        <v>59</v>
      </c>
      <c r="F11" s="103">
        <v>198</v>
      </c>
      <c r="G11" s="103">
        <v>86</v>
      </c>
      <c r="H11" s="103">
        <v>238</v>
      </c>
      <c r="I11" s="103">
        <v>127</v>
      </c>
      <c r="J11" s="103">
        <v>159</v>
      </c>
      <c r="K11" s="103">
        <v>26</v>
      </c>
      <c r="L11" s="103">
        <v>1</v>
      </c>
      <c r="M11" s="103">
        <v>0</v>
      </c>
      <c r="N11" s="103">
        <v>0</v>
      </c>
      <c r="O11" s="103">
        <v>0</v>
      </c>
      <c r="P11" s="103">
        <v>75</v>
      </c>
      <c r="Q11" s="103">
        <v>133</v>
      </c>
      <c r="R11" s="103">
        <v>1</v>
      </c>
      <c r="S11" s="103">
        <v>105</v>
      </c>
      <c r="T11" s="103">
        <v>238</v>
      </c>
      <c r="U11" s="103">
        <v>42</v>
      </c>
      <c r="V11" s="103">
        <v>1</v>
      </c>
      <c r="W11" s="103">
        <v>55</v>
      </c>
      <c r="X11" s="103">
        <v>144</v>
      </c>
      <c r="Y11" s="103">
        <v>2</v>
      </c>
      <c r="Z11" s="103">
        <v>0</v>
      </c>
      <c r="AA11" s="103">
        <v>52</v>
      </c>
      <c r="AB11" s="103">
        <v>21</v>
      </c>
      <c r="AC11" s="103">
        <v>4</v>
      </c>
      <c r="AD11" s="103">
        <v>124</v>
      </c>
      <c r="AE11" s="103">
        <v>50</v>
      </c>
      <c r="AF11" s="103">
        <v>203</v>
      </c>
      <c r="AG11" s="103">
        <v>83</v>
      </c>
      <c r="AH11" s="103">
        <v>1</v>
      </c>
      <c r="AI11" s="110">
        <f t="shared" si="0"/>
        <v>74.333333333333329</v>
      </c>
      <c r="AJ11" s="111">
        <v>10000</v>
      </c>
      <c r="AK11" s="111">
        <f t="shared" si="3"/>
        <v>2231</v>
      </c>
      <c r="AL11" s="112">
        <f t="shared" si="1"/>
        <v>0.22309999999999999</v>
      </c>
      <c r="AM11" s="201">
        <v>3334</v>
      </c>
    </row>
    <row r="12" spans="1:39" ht="20">
      <c r="A12" s="326">
        <v>10</v>
      </c>
      <c r="B12" s="99" t="s">
        <v>43</v>
      </c>
      <c r="C12" s="98" t="s">
        <v>164</v>
      </c>
      <c r="D12" s="103">
        <v>139</v>
      </c>
      <c r="E12" s="103">
        <v>4</v>
      </c>
      <c r="F12" s="103">
        <v>2</v>
      </c>
      <c r="G12" s="103">
        <v>1</v>
      </c>
      <c r="H12" s="103">
        <v>138</v>
      </c>
      <c r="I12" s="103">
        <v>174</v>
      </c>
      <c r="J12" s="103">
        <v>0</v>
      </c>
      <c r="K12" s="103">
        <v>1</v>
      </c>
      <c r="L12" s="103">
        <v>1</v>
      </c>
      <c r="M12" s="103">
        <v>121</v>
      </c>
      <c r="N12" s="103">
        <v>54</v>
      </c>
      <c r="O12" s="103">
        <v>7</v>
      </c>
      <c r="P12" s="103">
        <v>0</v>
      </c>
      <c r="Q12" s="103">
        <v>0</v>
      </c>
      <c r="R12" s="103">
        <v>125</v>
      </c>
      <c r="S12" s="103">
        <v>0</v>
      </c>
      <c r="T12" s="103">
        <v>104</v>
      </c>
      <c r="U12" s="103">
        <v>130</v>
      </c>
      <c r="V12" s="103">
        <v>76</v>
      </c>
      <c r="W12" s="103">
        <v>378</v>
      </c>
      <c r="X12" s="103">
        <v>113</v>
      </c>
      <c r="Y12" s="103">
        <v>10</v>
      </c>
      <c r="Z12" s="103">
        <v>4</v>
      </c>
      <c r="AA12" s="103">
        <v>205</v>
      </c>
      <c r="AB12" s="103">
        <v>250</v>
      </c>
      <c r="AC12" s="103">
        <v>139</v>
      </c>
      <c r="AD12" s="103">
        <v>203</v>
      </c>
      <c r="AE12" s="103">
        <v>265</v>
      </c>
      <c r="AF12" s="103">
        <v>0</v>
      </c>
      <c r="AG12" s="103">
        <v>5</v>
      </c>
      <c r="AH12" s="103">
        <v>0</v>
      </c>
      <c r="AI12" s="110">
        <f t="shared" si="0"/>
        <v>88.3</v>
      </c>
      <c r="AJ12" s="111">
        <v>10000</v>
      </c>
      <c r="AK12" s="111">
        <f t="shared" si="3"/>
        <v>2649</v>
      </c>
      <c r="AL12" s="112">
        <f t="shared" si="1"/>
        <v>0.26490000000000002</v>
      </c>
      <c r="AM12" s="113">
        <f t="shared" ref="AM12:AM23" si="4">AJ12-AK12</f>
        <v>7351</v>
      </c>
    </row>
    <row r="13" spans="1:39" ht="20">
      <c r="A13" s="326">
        <v>11</v>
      </c>
      <c r="B13" s="99" t="s">
        <v>45</v>
      </c>
      <c r="C13" s="98" t="s">
        <v>46</v>
      </c>
      <c r="D13" s="103">
        <v>0</v>
      </c>
      <c r="E13" s="103">
        <v>148</v>
      </c>
      <c r="F13" s="103">
        <v>249</v>
      </c>
      <c r="G13" s="103">
        <v>204</v>
      </c>
      <c r="H13" s="103">
        <v>0</v>
      </c>
      <c r="I13" s="103">
        <v>0</v>
      </c>
      <c r="J13" s="103">
        <v>0</v>
      </c>
      <c r="K13" s="103">
        <v>0</v>
      </c>
      <c r="L13" s="103">
        <v>1</v>
      </c>
      <c r="M13" s="103">
        <v>120</v>
      </c>
      <c r="N13" s="103">
        <v>55</v>
      </c>
      <c r="O13" s="103">
        <v>7</v>
      </c>
      <c r="P13" s="103">
        <v>0</v>
      </c>
      <c r="Q13" s="103">
        <v>1</v>
      </c>
      <c r="R13" s="103">
        <v>127</v>
      </c>
      <c r="S13" s="103">
        <v>2</v>
      </c>
      <c r="T13" s="103">
        <v>104</v>
      </c>
      <c r="U13" s="103">
        <v>130</v>
      </c>
      <c r="V13" s="103">
        <v>87</v>
      </c>
      <c r="W13" s="103">
        <v>171</v>
      </c>
      <c r="X13" s="103">
        <v>233</v>
      </c>
      <c r="Y13" s="103">
        <v>88</v>
      </c>
      <c r="Z13" s="103">
        <v>4</v>
      </c>
      <c r="AA13" s="103">
        <v>2</v>
      </c>
      <c r="AB13" s="103">
        <v>4</v>
      </c>
      <c r="AC13" s="103">
        <v>81</v>
      </c>
      <c r="AD13" s="103">
        <v>0</v>
      </c>
      <c r="AE13" s="103">
        <v>0</v>
      </c>
      <c r="AF13" s="103">
        <v>0</v>
      </c>
      <c r="AG13" s="103">
        <v>235</v>
      </c>
      <c r="AH13" s="103">
        <v>7</v>
      </c>
      <c r="AI13" s="110">
        <f t="shared" si="0"/>
        <v>68.433333333333337</v>
      </c>
      <c r="AJ13" s="111">
        <v>10000</v>
      </c>
      <c r="AK13" s="111">
        <f t="shared" si="3"/>
        <v>2060</v>
      </c>
      <c r="AL13" s="112">
        <f t="shared" si="1"/>
        <v>0.20599999999999999</v>
      </c>
      <c r="AM13" s="113">
        <f t="shared" si="4"/>
        <v>7940</v>
      </c>
    </row>
    <row r="14" spans="1:39" ht="20">
      <c r="A14" s="326">
        <v>12</v>
      </c>
      <c r="B14" s="99" t="s">
        <v>47</v>
      </c>
      <c r="C14" s="98" t="s">
        <v>48</v>
      </c>
      <c r="D14" s="103">
        <v>0</v>
      </c>
      <c r="E14" s="103">
        <v>59</v>
      </c>
      <c r="F14" s="103">
        <v>265</v>
      </c>
      <c r="G14" s="103">
        <v>0</v>
      </c>
      <c r="H14" s="103">
        <v>120</v>
      </c>
      <c r="I14" s="103">
        <v>48</v>
      </c>
      <c r="J14" s="103">
        <v>211</v>
      </c>
      <c r="K14" s="103">
        <v>204</v>
      </c>
      <c r="L14" s="103">
        <v>46</v>
      </c>
      <c r="M14" s="103">
        <v>130</v>
      </c>
      <c r="N14" s="103">
        <v>0</v>
      </c>
      <c r="O14" s="103">
        <v>0</v>
      </c>
      <c r="P14" s="103">
        <v>303</v>
      </c>
      <c r="Q14" s="103">
        <v>1</v>
      </c>
      <c r="R14" s="103">
        <v>0</v>
      </c>
      <c r="S14" s="103">
        <v>223</v>
      </c>
      <c r="T14" s="103">
        <v>160</v>
      </c>
      <c r="U14" s="103">
        <v>11</v>
      </c>
      <c r="V14" s="103">
        <v>88</v>
      </c>
      <c r="W14" s="103">
        <v>318</v>
      </c>
      <c r="X14" s="103">
        <v>0</v>
      </c>
      <c r="Y14" s="103">
        <v>10</v>
      </c>
      <c r="Z14" s="103">
        <v>2</v>
      </c>
      <c r="AA14" s="103">
        <v>314</v>
      </c>
      <c r="AB14" s="103">
        <v>147</v>
      </c>
      <c r="AC14" s="103">
        <v>185</v>
      </c>
      <c r="AD14" s="103">
        <v>239</v>
      </c>
      <c r="AE14" s="103">
        <v>316</v>
      </c>
      <c r="AF14" s="103">
        <v>314</v>
      </c>
      <c r="AG14" s="103">
        <v>366</v>
      </c>
      <c r="AH14" s="103">
        <v>337</v>
      </c>
      <c r="AI14" s="110">
        <f t="shared" si="0"/>
        <v>136</v>
      </c>
      <c r="AJ14" s="111">
        <v>10000</v>
      </c>
      <c r="AK14" s="111">
        <f t="shared" si="3"/>
        <v>4417</v>
      </c>
      <c r="AL14" s="112">
        <f t="shared" si="1"/>
        <v>0.44169999999999998</v>
      </c>
      <c r="AM14" s="113">
        <f t="shared" si="4"/>
        <v>5583</v>
      </c>
    </row>
    <row r="15" spans="1:39" ht="20">
      <c r="A15" s="326">
        <v>13</v>
      </c>
      <c r="B15" s="99" t="s">
        <v>49</v>
      </c>
      <c r="C15" s="98" t="s">
        <v>50</v>
      </c>
      <c r="D15" s="103">
        <v>105</v>
      </c>
      <c r="E15" s="103">
        <v>88</v>
      </c>
      <c r="F15" s="103">
        <v>182</v>
      </c>
      <c r="G15" s="103">
        <v>1</v>
      </c>
      <c r="H15" s="103">
        <v>47</v>
      </c>
      <c r="I15" s="103">
        <v>40</v>
      </c>
      <c r="J15" s="103">
        <v>88</v>
      </c>
      <c r="K15" s="103">
        <v>0</v>
      </c>
      <c r="L15" s="103">
        <v>1</v>
      </c>
      <c r="M15" s="103">
        <v>120</v>
      </c>
      <c r="N15" s="103">
        <v>0</v>
      </c>
      <c r="O15" s="103">
        <v>40</v>
      </c>
      <c r="P15" s="103">
        <v>15</v>
      </c>
      <c r="Q15" s="103">
        <v>97</v>
      </c>
      <c r="R15" s="103">
        <v>36</v>
      </c>
      <c r="S15" s="103">
        <v>1</v>
      </c>
      <c r="T15" s="103">
        <v>104</v>
      </c>
      <c r="U15" s="103">
        <v>131</v>
      </c>
      <c r="V15" s="103">
        <v>16</v>
      </c>
      <c r="W15" s="103">
        <v>217</v>
      </c>
      <c r="X15" s="103">
        <v>244</v>
      </c>
      <c r="Y15" s="103">
        <v>107</v>
      </c>
      <c r="Z15" s="103">
        <v>4</v>
      </c>
      <c r="AA15" s="103">
        <v>363</v>
      </c>
      <c r="AB15" s="103">
        <v>196</v>
      </c>
      <c r="AC15" s="103">
        <v>92</v>
      </c>
      <c r="AD15" s="103">
        <v>217</v>
      </c>
      <c r="AE15" s="103">
        <v>329</v>
      </c>
      <c r="AF15" s="103">
        <v>80</v>
      </c>
      <c r="AG15" s="103">
        <v>2</v>
      </c>
      <c r="AH15" s="103">
        <v>197</v>
      </c>
      <c r="AI15" s="110">
        <f t="shared" si="0"/>
        <v>98.766666666666666</v>
      </c>
      <c r="AJ15" s="111">
        <v>10000</v>
      </c>
      <c r="AK15" s="111">
        <f t="shared" si="3"/>
        <v>3160</v>
      </c>
      <c r="AL15" s="112">
        <f t="shared" si="1"/>
        <v>0.316</v>
      </c>
      <c r="AM15" s="113">
        <f t="shared" si="4"/>
        <v>6840</v>
      </c>
    </row>
    <row r="16" spans="1:39" ht="20">
      <c r="A16" s="326">
        <v>14</v>
      </c>
      <c r="B16" s="99" t="s">
        <v>51</v>
      </c>
      <c r="C16" s="98" t="s">
        <v>165</v>
      </c>
      <c r="D16" s="103">
        <v>136</v>
      </c>
      <c r="E16" s="103">
        <v>138</v>
      </c>
      <c r="F16" s="103">
        <v>162</v>
      </c>
      <c r="G16" s="103">
        <v>25</v>
      </c>
      <c r="H16" s="103">
        <v>1</v>
      </c>
      <c r="I16" s="103">
        <v>0</v>
      </c>
      <c r="J16" s="103">
        <v>1</v>
      </c>
      <c r="K16" s="103">
        <v>1</v>
      </c>
      <c r="L16" s="103">
        <v>0</v>
      </c>
      <c r="M16" s="103">
        <v>129</v>
      </c>
      <c r="N16" s="103">
        <v>43</v>
      </c>
      <c r="O16" s="103">
        <v>131</v>
      </c>
      <c r="P16" s="103">
        <v>2</v>
      </c>
      <c r="Q16" s="103">
        <v>1</v>
      </c>
      <c r="R16" s="103">
        <v>0</v>
      </c>
      <c r="S16" s="103">
        <v>156</v>
      </c>
      <c r="T16" s="103">
        <v>149</v>
      </c>
      <c r="U16" s="103">
        <v>71</v>
      </c>
      <c r="V16" s="103">
        <v>251</v>
      </c>
      <c r="W16" s="103">
        <v>175</v>
      </c>
      <c r="X16" s="103">
        <v>13</v>
      </c>
      <c r="Y16" s="103">
        <v>167</v>
      </c>
      <c r="Z16" s="103">
        <v>285</v>
      </c>
      <c r="AA16" s="103">
        <v>251</v>
      </c>
      <c r="AB16" s="103">
        <v>293</v>
      </c>
      <c r="AC16" s="103">
        <v>172</v>
      </c>
      <c r="AD16" s="103">
        <v>6</v>
      </c>
      <c r="AE16" s="103">
        <v>159</v>
      </c>
      <c r="AF16" s="103">
        <v>427</v>
      </c>
      <c r="AG16" s="103">
        <v>293</v>
      </c>
      <c r="AH16" s="103">
        <v>340</v>
      </c>
      <c r="AI16" s="110">
        <f t="shared" si="0"/>
        <v>121.26666666666667</v>
      </c>
      <c r="AJ16" s="111">
        <v>10000</v>
      </c>
      <c r="AK16" s="111">
        <f t="shared" si="3"/>
        <v>3978</v>
      </c>
      <c r="AL16" s="112">
        <f t="shared" si="1"/>
        <v>0.39779999999999999</v>
      </c>
      <c r="AM16" s="113">
        <f t="shared" si="4"/>
        <v>6022</v>
      </c>
    </row>
    <row r="17" spans="1:39" ht="20">
      <c r="A17" s="326">
        <v>15</v>
      </c>
      <c r="B17" s="109" t="s">
        <v>53</v>
      </c>
      <c r="C17" s="98" t="s">
        <v>322</v>
      </c>
      <c r="D17" s="103">
        <v>138</v>
      </c>
      <c r="E17" s="103">
        <v>129</v>
      </c>
      <c r="F17" s="103">
        <v>319</v>
      </c>
      <c r="G17" s="103">
        <v>113</v>
      </c>
      <c r="H17" s="103">
        <v>251</v>
      </c>
      <c r="I17" s="103">
        <v>0</v>
      </c>
      <c r="J17" s="103">
        <v>1</v>
      </c>
      <c r="K17" s="103">
        <v>0</v>
      </c>
      <c r="L17" s="103">
        <v>1</v>
      </c>
      <c r="M17" s="103">
        <v>119</v>
      </c>
      <c r="N17" s="103">
        <v>55</v>
      </c>
      <c r="O17" s="103">
        <v>131</v>
      </c>
      <c r="P17" s="103">
        <v>1</v>
      </c>
      <c r="Q17" s="103">
        <v>1</v>
      </c>
      <c r="R17" s="103">
        <v>1</v>
      </c>
      <c r="S17" s="103">
        <v>1</v>
      </c>
      <c r="T17" s="103">
        <v>1</v>
      </c>
      <c r="U17" s="103">
        <v>105</v>
      </c>
      <c r="V17" s="103">
        <v>228</v>
      </c>
      <c r="W17" s="103">
        <v>210</v>
      </c>
      <c r="X17" s="103">
        <v>188</v>
      </c>
      <c r="Y17" s="103">
        <v>79</v>
      </c>
      <c r="Z17" s="103">
        <v>15</v>
      </c>
      <c r="AA17" s="103">
        <v>1</v>
      </c>
      <c r="AB17" s="103">
        <v>4</v>
      </c>
      <c r="AC17" s="103">
        <v>76</v>
      </c>
      <c r="AD17" s="103">
        <v>275</v>
      </c>
      <c r="AE17" s="103">
        <v>247</v>
      </c>
      <c r="AF17" s="103">
        <v>184</v>
      </c>
      <c r="AG17" s="103">
        <v>309</v>
      </c>
      <c r="AH17" s="103">
        <v>109</v>
      </c>
      <c r="AI17" s="110">
        <f t="shared" si="0"/>
        <v>106.1</v>
      </c>
      <c r="AJ17" s="111">
        <v>10000</v>
      </c>
      <c r="AK17" s="111">
        <f t="shared" si="3"/>
        <v>3292</v>
      </c>
      <c r="AL17" s="112">
        <f t="shared" si="1"/>
        <v>0.32919999999999999</v>
      </c>
      <c r="AM17" s="113">
        <f t="shared" si="4"/>
        <v>6708</v>
      </c>
    </row>
    <row r="18" spans="1:39" ht="20">
      <c r="A18" s="326">
        <v>16</v>
      </c>
      <c r="B18" s="99" t="s">
        <v>55</v>
      </c>
      <c r="C18" s="98" t="s">
        <v>321</v>
      </c>
      <c r="D18" s="103">
        <v>141</v>
      </c>
      <c r="E18" s="103">
        <v>59</v>
      </c>
      <c r="F18" s="103">
        <v>240</v>
      </c>
      <c r="G18" s="103">
        <v>24</v>
      </c>
      <c r="H18" s="103">
        <v>1</v>
      </c>
      <c r="I18" s="103">
        <v>1</v>
      </c>
      <c r="J18" s="103">
        <v>1</v>
      </c>
      <c r="K18" s="103">
        <v>1</v>
      </c>
      <c r="L18" s="103">
        <v>0</v>
      </c>
      <c r="M18" s="103">
        <v>132</v>
      </c>
      <c r="N18" s="103">
        <v>43</v>
      </c>
      <c r="O18" s="103">
        <v>132</v>
      </c>
      <c r="P18" s="103">
        <v>1</v>
      </c>
      <c r="Q18" s="103">
        <v>2</v>
      </c>
      <c r="R18" s="103">
        <v>3</v>
      </c>
      <c r="S18" s="103">
        <v>106</v>
      </c>
      <c r="T18" s="103">
        <v>281</v>
      </c>
      <c r="U18" s="103">
        <v>0</v>
      </c>
      <c r="V18" s="103">
        <v>163</v>
      </c>
      <c r="W18" s="103">
        <v>259</v>
      </c>
      <c r="X18" s="103">
        <v>14</v>
      </c>
      <c r="Y18" s="103">
        <v>217</v>
      </c>
      <c r="Z18" s="103">
        <v>281</v>
      </c>
      <c r="AA18" s="103">
        <v>199</v>
      </c>
      <c r="AB18" s="103">
        <v>168</v>
      </c>
      <c r="AC18" s="103">
        <v>326</v>
      </c>
      <c r="AD18" s="103">
        <v>4</v>
      </c>
      <c r="AE18" s="103">
        <v>67</v>
      </c>
      <c r="AF18" s="103">
        <v>472</v>
      </c>
      <c r="AG18" s="103">
        <v>162</v>
      </c>
      <c r="AH18" s="103">
        <v>275</v>
      </c>
      <c r="AI18" s="110">
        <f t="shared" si="0"/>
        <v>116.66666666666667</v>
      </c>
      <c r="AJ18" s="111">
        <v>10000</v>
      </c>
      <c r="AK18" s="111">
        <f t="shared" si="3"/>
        <v>3775</v>
      </c>
      <c r="AL18" s="112">
        <f t="shared" si="1"/>
        <v>0.3775</v>
      </c>
      <c r="AM18" s="113">
        <f t="shared" si="4"/>
        <v>6225</v>
      </c>
    </row>
    <row r="19" spans="1:39" ht="20">
      <c r="A19" s="326">
        <v>18</v>
      </c>
      <c r="B19" s="115" t="s">
        <v>58</v>
      </c>
      <c r="C19" s="98" t="s">
        <v>59</v>
      </c>
      <c r="D19" s="103">
        <v>1</v>
      </c>
      <c r="E19" s="103">
        <v>1</v>
      </c>
      <c r="F19" s="103">
        <v>27</v>
      </c>
      <c r="G19" s="103">
        <v>69</v>
      </c>
      <c r="H19" s="103">
        <v>67</v>
      </c>
      <c r="I19" s="103">
        <v>202</v>
      </c>
      <c r="J19" s="103">
        <v>1</v>
      </c>
      <c r="K19" s="103">
        <v>199</v>
      </c>
      <c r="L19" s="103">
        <v>46</v>
      </c>
      <c r="M19" s="103">
        <v>128</v>
      </c>
      <c r="N19" s="103">
        <v>0</v>
      </c>
      <c r="O19" s="103">
        <v>0</v>
      </c>
      <c r="P19" s="103">
        <v>131</v>
      </c>
      <c r="Q19" s="103">
        <v>175</v>
      </c>
      <c r="R19" s="103">
        <v>1</v>
      </c>
      <c r="S19" s="103">
        <v>105</v>
      </c>
      <c r="T19" s="103">
        <v>281</v>
      </c>
      <c r="U19" s="103">
        <v>12</v>
      </c>
      <c r="V19" s="103">
        <v>73</v>
      </c>
      <c r="W19" s="103">
        <v>258</v>
      </c>
      <c r="X19" s="103">
        <v>78</v>
      </c>
      <c r="Y19" s="103">
        <v>0</v>
      </c>
      <c r="Z19" s="103">
        <v>0</v>
      </c>
      <c r="AA19" s="103">
        <v>0</v>
      </c>
      <c r="AB19" s="103">
        <v>13</v>
      </c>
      <c r="AC19" s="103">
        <v>4</v>
      </c>
      <c r="AD19" s="103">
        <v>219</v>
      </c>
      <c r="AE19" s="103">
        <v>167</v>
      </c>
      <c r="AF19" s="103">
        <v>262</v>
      </c>
      <c r="AG19" s="103">
        <v>128</v>
      </c>
      <c r="AH19" s="103">
        <v>327</v>
      </c>
      <c r="AI19" s="110">
        <f t="shared" si="0"/>
        <v>88.266666666666666</v>
      </c>
      <c r="AJ19" s="111">
        <v>10000</v>
      </c>
      <c r="AK19" s="111">
        <f t="shared" si="3"/>
        <v>2975</v>
      </c>
      <c r="AL19" s="112">
        <f t="shared" si="1"/>
        <v>0.29749999999999999</v>
      </c>
      <c r="AM19" s="113">
        <f t="shared" si="4"/>
        <v>7025</v>
      </c>
    </row>
    <row r="20" spans="1:39" ht="20">
      <c r="A20" s="326">
        <v>19</v>
      </c>
      <c r="B20" s="99" t="s">
        <v>60</v>
      </c>
      <c r="C20" s="98" t="s">
        <v>323</v>
      </c>
      <c r="D20" s="103">
        <v>141</v>
      </c>
      <c r="E20" s="103">
        <v>117</v>
      </c>
      <c r="F20" s="103">
        <v>181</v>
      </c>
      <c r="G20" s="103">
        <v>23</v>
      </c>
      <c r="H20" s="103">
        <v>1</v>
      </c>
      <c r="I20" s="103">
        <v>0</v>
      </c>
      <c r="J20" s="103">
        <v>1</v>
      </c>
      <c r="K20" s="103">
        <v>0</v>
      </c>
      <c r="L20" s="103">
        <v>0</v>
      </c>
      <c r="M20" s="103">
        <v>132</v>
      </c>
      <c r="N20" s="103">
        <v>43</v>
      </c>
      <c r="O20" s="103">
        <v>130</v>
      </c>
      <c r="P20" s="103">
        <v>1</v>
      </c>
      <c r="Q20" s="103">
        <v>1</v>
      </c>
      <c r="R20" s="103">
        <v>0</v>
      </c>
      <c r="S20" s="103">
        <v>1</v>
      </c>
      <c r="T20" s="103">
        <v>1</v>
      </c>
      <c r="U20" s="103">
        <v>105</v>
      </c>
      <c r="V20" s="103">
        <v>226</v>
      </c>
      <c r="W20" s="103">
        <v>122</v>
      </c>
      <c r="X20" s="103">
        <v>265</v>
      </c>
      <c r="Y20" s="103">
        <v>94</v>
      </c>
      <c r="Z20" s="103">
        <v>8</v>
      </c>
      <c r="AA20" s="103">
        <v>1</v>
      </c>
      <c r="AB20" s="103">
        <v>61</v>
      </c>
      <c r="AC20" s="103">
        <v>276</v>
      </c>
      <c r="AD20" s="103">
        <v>257</v>
      </c>
      <c r="AE20" s="103">
        <v>198</v>
      </c>
      <c r="AF20" s="103">
        <v>264</v>
      </c>
      <c r="AG20" s="103">
        <v>1</v>
      </c>
      <c r="AH20" s="103">
        <v>140</v>
      </c>
      <c r="AI20" s="110">
        <f t="shared" si="0"/>
        <v>88.36666666666666</v>
      </c>
      <c r="AJ20" s="111">
        <v>10000</v>
      </c>
      <c r="AK20" s="111">
        <f t="shared" si="3"/>
        <v>2791</v>
      </c>
      <c r="AL20" s="112">
        <f t="shared" si="1"/>
        <v>0.27910000000000001</v>
      </c>
      <c r="AM20" s="113">
        <f t="shared" si="4"/>
        <v>7209</v>
      </c>
    </row>
    <row r="21" spans="1:39" ht="20">
      <c r="A21" s="326">
        <v>20</v>
      </c>
      <c r="B21" s="99" t="s">
        <v>62</v>
      </c>
      <c r="C21" s="98" t="s">
        <v>63</v>
      </c>
      <c r="D21" s="103">
        <v>73</v>
      </c>
      <c r="E21" s="103">
        <v>249</v>
      </c>
      <c r="F21" s="103">
        <v>188</v>
      </c>
      <c r="G21" s="103">
        <v>174</v>
      </c>
      <c r="H21" s="103">
        <v>1</v>
      </c>
      <c r="I21" s="103">
        <v>0</v>
      </c>
      <c r="J21" s="103">
        <v>1</v>
      </c>
      <c r="K21" s="103">
        <v>0</v>
      </c>
      <c r="L21" s="103">
        <v>0</v>
      </c>
      <c r="M21" s="103">
        <v>132</v>
      </c>
      <c r="N21" s="103">
        <v>0</v>
      </c>
      <c r="O21" s="103">
        <v>0</v>
      </c>
      <c r="P21" s="103">
        <v>0</v>
      </c>
      <c r="Q21" s="103">
        <v>0</v>
      </c>
      <c r="R21" s="103">
        <v>1</v>
      </c>
      <c r="S21" s="103">
        <v>222</v>
      </c>
      <c r="T21" s="103">
        <v>160</v>
      </c>
      <c r="U21" s="103">
        <v>12</v>
      </c>
      <c r="V21" s="103">
        <v>112</v>
      </c>
      <c r="W21" s="103">
        <v>200</v>
      </c>
      <c r="X21" s="103">
        <v>102</v>
      </c>
      <c r="Y21" s="103">
        <v>7</v>
      </c>
      <c r="Z21" s="103">
        <v>0</v>
      </c>
      <c r="AA21" s="103">
        <v>383</v>
      </c>
      <c r="AB21" s="103">
        <v>210</v>
      </c>
      <c r="AC21" s="103">
        <v>54</v>
      </c>
      <c r="AD21" s="103">
        <v>262</v>
      </c>
      <c r="AE21" s="103">
        <v>291</v>
      </c>
      <c r="AF21" s="103">
        <v>3</v>
      </c>
      <c r="AG21" s="103">
        <v>4</v>
      </c>
      <c r="AH21" s="103">
        <v>292</v>
      </c>
      <c r="AI21" s="110">
        <f t="shared" si="0"/>
        <v>94.7</v>
      </c>
      <c r="AJ21" s="111">
        <v>10000</v>
      </c>
      <c r="AK21" s="111">
        <f t="shared" si="3"/>
        <v>3133</v>
      </c>
      <c r="AL21" s="112">
        <f t="shared" si="1"/>
        <v>0.31330000000000002</v>
      </c>
      <c r="AM21" s="113">
        <f t="shared" si="4"/>
        <v>6867</v>
      </c>
    </row>
    <row r="22" spans="1:39" ht="20">
      <c r="A22" s="326">
        <v>21</v>
      </c>
      <c r="B22" s="333" t="s">
        <v>64</v>
      </c>
      <c r="C22" s="334" t="s">
        <v>311</v>
      </c>
      <c r="D22" s="335">
        <v>0</v>
      </c>
      <c r="E22" s="335">
        <v>0</v>
      </c>
      <c r="F22" s="335">
        <v>0</v>
      </c>
      <c r="G22" s="335">
        <v>0</v>
      </c>
      <c r="H22" s="335">
        <v>0</v>
      </c>
      <c r="I22" s="335">
        <v>0</v>
      </c>
      <c r="J22" s="335">
        <v>0</v>
      </c>
      <c r="K22" s="335">
        <v>0</v>
      </c>
      <c r="L22" s="335">
        <v>0</v>
      </c>
      <c r="M22" s="335">
        <v>0</v>
      </c>
      <c r="N22" s="335">
        <v>0</v>
      </c>
      <c r="O22" s="335">
        <v>0</v>
      </c>
      <c r="P22" s="335">
        <v>0</v>
      </c>
      <c r="Q22" s="335">
        <v>0</v>
      </c>
      <c r="R22" s="335">
        <v>0</v>
      </c>
      <c r="S22" s="335">
        <v>0</v>
      </c>
      <c r="T22" s="335">
        <v>0</v>
      </c>
      <c r="U22" s="335">
        <v>0</v>
      </c>
      <c r="V22" s="335">
        <v>0</v>
      </c>
      <c r="W22" s="335">
        <v>0</v>
      </c>
      <c r="X22" s="335">
        <v>0</v>
      </c>
      <c r="Y22" s="335">
        <v>0</v>
      </c>
      <c r="Z22" s="335">
        <v>0</v>
      </c>
      <c r="AA22" s="335">
        <v>0</v>
      </c>
      <c r="AB22" s="335">
        <v>0</v>
      </c>
      <c r="AC22" s="335">
        <v>0</v>
      </c>
      <c r="AD22" s="335">
        <v>0</v>
      </c>
      <c r="AE22" s="335">
        <v>0</v>
      </c>
      <c r="AF22" s="335">
        <v>47</v>
      </c>
      <c r="AG22" s="335">
        <v>1</v>
      </c>
      <c r="AH22" s="335">
        <v>1</v>
      </c>
      <c r="AI22" s="233">
        <f t="shared" si="0"/>
        <v>1.6</v>
      </c>
      <c r="AJ22" s="325">
        <v>10000</v>
      </c>
      <c r="AK22" s="111">
        <f t="shared" si="3"/>
        <v>49</v>
      </c>
      <c r="AL22" s="112">
        <f t="shared" si="1"/>
        <v>4.8999999999999998E-3</v>
      </c>
      <c r="AM22" s="235">
        <f t="shared" si="4"/>
        <v>9951</v>
      </c>
    </row>
    <row r="23" spans="1:39" ht="20">
      <c r="A23" s="326">
        <v>17</v>
      </c>
      <c r="B23" s="114" t="s">
        <v>56</v>
      </c>
      <c r="C23" s="102" t="s">
        <v>57</v>
      </c>
      <c r="D23" s="104"/>
      <c r="E23" s="104"/>
      <c r="F23" s="105"/>
      <c r="G23" s="105"/>
      <c r="H23" s="105"/>
      <c r="I23" s="104"/>
      <c r="J23" s="104"/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10" t="e">
        <f t="shared" si="0"/>
        <v>#DIV/0!</v>
      </c>
      <c r="AJ23" s="111">
        <v>10000</v>
      </c>
      <c r="AK23" s="111">
        <f t="shared" si="3"/>
        <v>0</v>
      </c>
      <c r="AL23" s="112">
        <f t="shared" si="1"/>
        <v>0</v>
      </c>
      <c r="AM23" s="113">
        <f t="shared" si="4"/>
        <v>10000</v>
      </c>
    </row>
    <row r="24" spans="1:39" s="116" customFormat="1" ht="28.5" customHeight="1">
      <c r="C24" s="124" t="s">
        <v>70</v>
      </c>
      <c r="D24" s="118">
        <f t="shared" ref="D24:R24" si="5">SUM(D6:D21)</f>
        <v>1283</v>
      </c>
      <c r="E24" s="118">
        <f t="shared" si="5"/>
        <v>1363</v>
      </c>
      <c r="F24" s="118">
        <f t="shared" si="5"/>
        <v>2570</v>
      </c>
      <c r="G24" s="118">
        <f t="shared" si="5"/>
        <v>1370</v>
      </c>
      <c r="H24" s="118">
        <f t="shared" si="5"/>
        <v>1707</v>
      </c>
      <c r="I24" s="118">
        <f t="shared" si="5"/>
        <v>1016</v>
      </c>
      <c r="J24" s="118">
        <f t="shared" si="5"/>
        <v>1107</v>
      </c>
      <c r="K24" s="118">
        <f t="shared" si="5"/>
        <v>928</v>
      </c>
      <c r="L24" s="118">
        <f t="shared" si="5"/>
        <v>502</v>
      </c>
      <c r="M24" s="118">
        <f t="shared" si="5"/>
        <v>1531</v>
      </c>
      <c r="N24" s="118">
        <f t="shared" si="5"/>
        <v>382</v>
      </c>
      <c r="O24" s="118">
        <f t="shared" si="5"/>
        <v>716</v>
      </c>
      <c r="P24" s="118">
        <f t="shared" si="5"/>
        <v>530</v>
      </c>
      <c r="Q24" s="118">
        <f t="shared" si="5"/>
        <v>421</v>
      </c>
      <c r="R24" s="118">
        <f t="shared" si="5"/>
        <v>1249</v>
      </c>
      <c r="S24" s="118">
        <f>SUM(R6:R21)</f>
        <v>1249</v>
      </c>
      <c r="T24" s="118">
        <f>SUM(S6:S21)</f>
        <v>1983</v>
      </c>
      <c r="U24" s="118">
        <f>SUM(U6:U21)</f>
        <v>970</v>
      </c>
      <c r="V24" s="118">
        <f>SUM(V6:V21)</f>
        <v>1636</v>
      </c>
      <c r="W24" s="118">
        <f>SUM(W6:W21)</f>
        <v>3131</v>
      </c>
      <c r="X24" s="118">
        <f>SUM(X6:X21)</f>
        <v>1722</v>
      </c>
      <c r="Y24" s="118">
        <f>SUM(Y6:Y21)</f>
        <v>1291</v>
      </c>
      <c r="Z24" s="118">
        <f>SUM(Z6:Z20)</f>
        <v>906</v>
      </c>
      <c r="AA24" s="118">
        <f t="shared" ref="AA24:AH24" si="6">SUM(AA6:AA21)</f>
        <v>2964</v>
      </c>
      <c r="AB24" s="118">
        <f t="shared" si="6"/>
        <v>2463</v>
      </c>
      <c r="AC24" s="118">
        <f t="shared" si="6"/>
        <v>2779</v>
      </c>
      <c r="AD24" s="118">
        <f t="shared" si="6"/>
        <v>2570</v>
      </c>
      <c r="AE24" s="118">
        <f t="shared" si="6"/>
        <v>2986</v>
      </c>
      <c r="AF24" s="118">
        <f t="shared" si="6"/>
        <v>2867</v>
      </c>
      <c r="AG24" s="118">
        <f t="shared" si="6"/>
        <v>2214</v>
      </c>
      <c r="AH24" s="118">
        <f t="shared" si="6"/>
        <v>2595</v>
      </c>
      <c r="AI24" s="119" t="s">
        <v>66</v>
      </c>
      <c r="AJ24" s="121">
        <f>SUM(AJ6:AJ22)</f>
        <v>170000</v>
      </c>
      <c r="AK24" s="121">
        <f>SUM(AK6:AK21)</f>
        <v>52173</v>
      </c>
      <c r="AL24" s="122">
        <f t="shared" ref="AL24" si="7">AK24/AJ24</f>
        <v>0.30690000000000001</v>
      </c>
      <c r="AM24" s="119"/>
    </row>
    <row r="25" spans="1:39" s="116" customFormat="1" ht="28.5" customHeight="1">
      <c r="C25" s="124" t="s">
        <v>83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7">
        <v>3150</v>
      </c>
      <c r="AI25" s="331" t="s">
        <v>87</v>
      </c>
      <c r="AJ25" s="327">
        <f>AVERAGE(AJ6:AJ21)</f>
        <v>10000</v>
      </c>
      <c r="AK25" s="327">
        <f>AVERAGE(AK6:AK21)</f>
        <v>3260.8125</v>
      </c>
    </row>
    <row r="26" spans="1:39" s="116" customFormat="1" ht="15">
      <c r="C26" s="124" t="s">
        <v>72</v>
      </c>
      <c r="D26" s="123">
        <f>D27/D28</f>
        <v>0.17819444444444443</v>
      </c>
      <c r="E26" s="123">
        <f t="shared" ref="E26:AH26" si="8">E27/E28</f>
        <v>0.18930555555555556</v>
      </c>
      <c r="F26" s="123">
        <f t="shared" si="8"/>
        <v>0.35694444444444445</v>
      </c>
      <c r="G26" s="123">
        <f t="shared" si="8"/>
        <v>0.19027777777777777</v>
      </c>
      <c r="H26" s="123">
        <f>H27/H28</f>
        <v>0.23708333333333334</v>
      </c>
      <c r="I26" s="123">
        <f t="shared" si="8"/>
        <v>0.1411111111111111</v>
      </c>
      <c r="J26" s="123">
        <f t="shared" si="8"/>
        <v>0.15375</v>
      </c>
      <c r="K26" s="123">
        <f t="shared" si="8"/>
        <v>0.12888888888888889</v>
      </c>
      <c r="L26" s="123">
        <f t="shared" si="8"/>
        <v>6.9722222222222227E-2</v>
      </c>
      <c r="M26" s="123">
        <f t="shared" si="8"/>
        <v>0.21263888888888888</v>
      </c>
      <c r="N26" s="123">
        <f t="shared" si="8"/>
        <v>5.3055555555555557E-2</v>
      </c>
      <c r="O26" s="123">
        <f t="shared" si="8"/>
        <v>9.9444444444444446E-2</v>
      </c>
      <c r="P26" s="123">
        <f t="shared" si="8"/>
        <v>7.3611111111111113E-2</v>
      </c>
      <c r="Q26" s="123">
        <f t="shared" si="8"/>
        <v>5.8472222222222224E-2</v>
      </c>
      <c r="R26" s="123">
        <f t="shared" si="8"/>
        <v>0.17347222222222222</v>
      </c>
      <c r="S26" s="123">
        <f>S27/S28</f>
        <v>0.17347222222222222</v>
      </c>
      <c r="T26" s="123">
        <f t="shared" si="8"/>
        <v>0.27541666666666664</v>
      </c>
      <c r="U26" s="123">
        <f t="shared" si="8"/>
        <v>0.13472222222222222</v>
      </c>
      <c r="V26" s="123">
        <f t="shared" si="8"/>
        <v>0.22722222222222221</v>
      </c>
      <c r="W26" s="123">
        <f t="shared" si="8"/>
        <v>0.43486111111111109</v>
      </c>
      <c r="X26" s="123">
        <f t="shared" si="8"/>
        <v>0.23916666666666667</v>
      </c>
      <c r="Y26" s="123">
        <f t="shared" si="8"/>
        <v>0.17930555555555555</v>
      </c>
      <c r="Z26" s="123">
        <f t="shared" si="8"/>
        <v>0.13422222222222221</v>
      </c>
      <c r="AA26" s="123">
        <f t="shared" si="8"/>
        <v>0.41166666666666668</v>
      </c>
      <c r="AB26" s="123">
        <f t="shared" si="8"/>
        <v>0.34208333333333335</v>
      </c>
      <c r="AC26" s="123">
        <f t="shared" si="8"/>
        <v>0.38597222222222222</v>
      </c>
      <c r="AD26" s="123">
        <f t="shared" si="8"/>
        <v>0.35694444444444445</v>
      </c>
      <c r="AE26" s="123">
        <f t="shared" si="8"/>
        <v>0.41472222222222221</v>
      </c>
      <c r="AF26" s="123">
        <f t="shared" si="8"/>
        <v>0.39819444444444446</v>
      </c>
      <c r="AG26" s="123">
        <f t="shared" si="8"/>
        <v>0.3075</v>
      </c>
      <c r="AH26" s="328">
        <f t="shared" si="8"/>
        <v>0.36041666666666666</v>
      </c>
      <c r="AI26" s="331"/>
    </row>
    <row r="27" spans="1:39" s="116" customFormat="1" ht="15">
      <c r="C27" s="124" t="s">
        <v>75</v>
      </c>
      <c r="D27" s="118">
        <f t="shared" ref="D27:R27" si="9">AVERAGE(D6:D21)</f>
        <v>80.1875</v>
      </c>
      <c r="E27" s="118">
        <f t="shared" si="9"/>
        <v>85.1875</v>
      </c>
      <c r="F27" s="118">
        <f t="shared" si="9"/>
        <v>160.625</v>
      </c>
      <c r="G27" s="118">
        <f t="shared" si="9"/>
        <v>85.625</v>
      </c>
      <c r="H27" s="118">
        <f t="shared" si="9"/>
        <v>106.6875</v>
      </c>
      <c r="I27" s="118">
        <f t="shared" si="9"/>
        <v>63.5</v>
      </c>
      <c r="J27" s="118">
        <f t="shared" si="9"/>
        <v>69.1875</v>
      </c>
      <c r="K27" s="118">
        <f t="shared" si="9"/>
        <v>58</v>
      </c>
      <c r="L27" s="118">
        <f t="shared" si="9"/>
        <v>31.375</v>
      </c>
      <c r="M27" s="118">
        <f t="shared" si="9"/>
        <v>95.6875</v>
      </c>
      <c r="N27" s="118">
        <f t="shared" si="9"/>
        <v>23.875</v>
      </c>
      <c r="O27" s="118">
        <f t="shared" si="9"/>
        <v>44.75</v>
      </c>
      <c r="P27" s="118">
        <f t="shared" si="9"/>
        <v>33.125</v>
      </c>
      <c r="Q27" s="118">
        <f t="shared" si="9"/>
        <v>26.3125</v>
      </c>
      <c r="R27" s="118">
        <f t="shared" si="9"/>
        <v>78.0625</v>
      </c>
      <c r="S27" s="118">
        <f>AVERAGE(R6:R21)</f>
        <v>78.0625</v>
      </c>
      <c r="T27" s="118">
        <f>AVERAGE(S6:S21)</f>
        <v>123.9375</v>
      </c>
      <c r="U27" s="118">
        <f>AVERAGE(U6:U21)</f>
        <v>60.625</v>
      </c>
      <c r="V27" s="118">
        <f>AVERAGE(V6:V21)</f>
        <v>102.25</v>
      </c>
      <c r="W27" s="118">
        <f>AVERAGE(W6:W21)</f>
        <v>195.6875</v>
      </c>
      <c r="X27" s="118">
        <f>AVERAGE(X6:X21)</f>
        <v>107.625</v>
      </c>
      <c r="Y27" s="118">
        <f>AVERAGE(Y6:Y21)</f>
        <v>80.6875</v>
      </c>
      <c r="Z27" s="118">
        <f>AVERAGE(Z6:Z20)</f>
        <v>60.4</v>
      </c>
      <c r="AA27" s="118">
        <f t="shared" ref="AA27:AH27" si="10">AVERAGE(AA6:AA21)</f>
        <v>185.25</v>
      </c>
      <c r="AB27" s="118">
        <f t="shared" si="10"/>
        <v>153.9375</v>
      </c>
      <c r="AC27" s="118">
        <f t="shared" si="10"/>
        <v>173.6875</v>
      </c>
      <c r="AD27" s="118">
        <f t="shared" si="10"/>
        <v>160.625</v>
      </c>
      <c r="AE27" s="118">
        <f t="shared" si="10"/>
        <v>186.625</v>
      </c>
      <c r="AF27" s="118">
        <f t="shared" si="10"/>
        <v>179.1875</v>
      </c>
      <c r="AG27" s="118">
        <f t="shared" si="10"/>
        <v>138.375</v>
      </c>
      <c r="AH27" s="329">
        <f t="shared" si="10"/>
        <v>162.1875</v>
      </c>
      <c r="AI27" s="332"/>
    </row>
    <row r="28" spans="1:39" s="116" customFormat="1" ht="15">
      <c r="C28" s="124" t="s">
        <v>74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  <c r="AH28" s="330">
        <v>450</v>
      </c>
      <c r="AI28" s="126"/>
    </row>
  </sheetData>
  <mergeCells count="1">
    <mergeCell ref="D1:AG1"/>
  </mergeCells>
  <phoneticPr fontId="21" type="noConversion"/>
  <conditionalFormatting sqref="B8">
    <cfRule type="duplicateValues" dxfId="138" priority="6"/>
  </conditionalFormatting>
  <conditionalFormatting sqref="B10:B11 B7">
    <cfRule type="duplicateValues" dxfId="137" priority="7"/>
  </conditionalFormatting>
  <conditionalFormatting sqref="B13">
    <cfRule type="duplicateValues" dxfId="136" priority="4"/>
  </conditionalFormatting>
  <conditionalFormatting sqref="B14">
    <cfRule type="duplicateValues" dxfId="135" priority="5"/>
  </conditionalFormatting>
  <conditionalFormatting sqref="B16:B17 B12">
    <cfRule type="duplicateValues" dxfId="134" priority="10"/>
  </conditionalFormatting>
  <conditionalFormatting sqref="B18:B19 B22:B23">
    <cfRule type="duplicateValues" dxfId="133" priority="8"/>
  </conditionalFormatting>
  <conditionalFormatting sqref="B21 B15 B9 B3:B6">
    <cfRule type="duplicateValues" dxfId="132" priority="9"/>
  </conditionalFormatting>
  <conditionalFormatting sqref="D3:AH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M3:AM23">
    <cfRule type="cellIs" dxfId="131" priority="2" operator="lessThan">
      <formula>0</formula>
    </cfRule>
    <cfRule type="cellIs" dxfId="130" priority="3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360-B81E-4F57-8C4B-6AA574D36441}">
  <dimension ref="A1:AM28"/>
  <sheetViews>
    <sheetView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I31" sqref="AI31"/>
    </sheetView>
  </sheetViews>
  <sheetFormatPr defaultRowHeight="14.5"/>
  <cols>
    <col min="2" max="2" width="15.26953125" customWidth="1"/>
    <col min="3" max="3" width="35.08984375" bestFit="1" customWidth="1"/>
    <col min="4" max="31" width="11.7265625" bestFit="1" customWidth="1"/>
    <col min="32" max="33" width="9.54296875" bestFit="1" customWidth="1"/>
    <col min="34" max="34" width="9.54296875" hidden="1" customWidth="1"/>
    <col min="35" max="35" width="10.453125" bestFit="1" customWidth="1"/>
    <col min="36" max="36" width="21.81640625" bestFit="1" customWidth="1"/>
    <col min="37" max="37" width="23.6328125" bestFit="1" customWidth="1"/>
    <col min="38" max="38" width="17.08984375" bestFit="1" customWidth="1"/>
    <col min="39" max="39" width="21.81640625" bestFit="1" customWidth="1"/>
  </cols>
  <sheetData>
    <row r="1" spans="1:39" ht="35.25" customHeight="1">
      <c r="C1" s="127" t="s">
        <v>80</v>
      </c>
      <c r="D1" s="365" t="s">
        <v>76</v>
      </c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157"/>
    </row>
    <row r="2" spans="1:39" ht="75.5" customHeight="1">
      <c r="B2" s="318" t="s">
        <v>4</v>
      </c>
      <c r="C2" s="62" t="s">
        <v>5</v>
      </c>
      <c r="D2" s="341" t="s">
        <v>280</v>
      </c>
      <c r="E2" s="341" t="s">
        <v>281</v>
      </c>
      <c r="F2" s="341" t="s">
        <v>282</v>
      </c>
      <c r="G2" s="341" t="s">
        <v>283</v>
      </c>
      <c r="H2" s="341" t="s">
        <v>284</v>
      </c>
      <c r="I2" s="341" t="s">
        <v>285</v>
      </c>
      <c r="J2" s="341" t="s">
        <v>286</v>
      </c>
      <c r="K2" s="341" t="s">
        <v>287</v>
      </c>
      <c r="L2" s="341" t="s">
        <v>288</v>
      </c>
      <c r="M2" s="341" t="s">
        <v>289</v>
      </c>
      <c r="N2" s="341" t="s">
        <v>290</v>
      </c>
      <c r="O2" s="341" t="s">
        <v>291</v>
      </c>
      <c r="P2" s="341" t="s">
        <v>292</v>
      </c>
      <c r="Q2" s="341" t="s">
        <v>293</v>
      </c>
      <c r="R2" s="341" t="s">
        <v>294</v>
      </c>
      <c r="S2" s="341" t="s">
        <v>295</v>
      </c>
      <c r="T2" s="341" t="s">
        <v>296</v>
      </c>
      <c r="U2" s="341" t="s">
        <v>297</v>
      </c>
      <c r="V2" s="341" t="s">
        <v>298</v>
      </c>
      <c r="W2" s="341" t="s">
        <v>299</v>
      </c>
      <c r="X2" s="341" t="s">
        <v>300</v>
      </c>
      <c r="Y2" s="341" t="s">
        <v>301</v>
      </c>
      <c r="Z2" s="341" t="s">
        <v>302</v>
      </c>
      <c r="AA2" s="341" t="s">
        <v>303</v>
      </c>
      <c r="AB2" s="341" t="s">
        <v>304</v>
      </c>
      <c r="AC2" s="341" t="s">
        <v>305</v>
      </c>
      <c r="AD2" s="341" t="s">
        <v>306</v>
      </c>
      <c r="AE2" s="341" t="s">
        <v>307</v>
      </c>
      <c r="AF2" s="341" t="s">
        <v>308</v>
      </c>
      <c r="AG2" s="341" t="s">
        <v>309</v>
      </c>
      <c r="AH2" s="341" t="s">
        <v>310</v>
      </c>
      <c r="AI2" s="320" t="s">
        <v>79</v>
      </c>
      <c r="AJ2" s="321" t="s">
        <v>18</v>
      </c>
      <c r="AK2" s="322" t="s">
        <v>77</v>
      </c>
      <c r="AL2" s="323" t="s">
        <v>20</v>
      </c>
      <c r="AM2" s="324" t="s">
        <v>78</v>
      </c>
    </row>
    <row r="3" spans="1:39" ht="20">
      <c r="A3" s="326">
        <v>1</v>
      </c>
      <c r="B3" s="99" t="s">
        <v>35</v>
      </c>
      <c r="C3" s="98" t="s">
        <v>36</v>
      </c>
      <c r="D3" s="103">
        <v>0</v>
      </c>
      <c r="E3" s="103">
        <v>0</v>
      </c>
      <c r="F3" s="103">
        <v>30</v>
      </c>
      <c r="G3" s="103">
        <v>30</v>
      </c>
      <c r="H3" s="103">
        <v>0</v>
      </c>
      <c r="I3" s="103">
        <v>0</v>
      </c>
      <c r="J3" s="103">
        <v>289</v>
      </c>
      <c r="K3" s="103">
        <v>349</v>
      </c>
      <c r="L3" s="103">
        <v>131</v>
      </c>
      <c r="M3" s="103">
        <v>325</v>
      </c>
      <c r="N3" s="103">
        <v>0</v>
      </c>
      <c r="O3" s="103">
        <v>0</v>
      </c>
      <c r="P3" s="103">
        <v>9</v>
      </c>
      <c r="Q3" s="103">
        <v>230</v>
      </c>
      <c r="R3" s="103">
        <v>152</v>
      </c>
      <c r="S3" s="103">
        <v>332</v>
      </c>
      <c r="T3" s="103">
        <v>394</v>
      </c>
      <c r="U3" s="103">
        <v>0</v>
      </c>
      <c r="V3" s="103">
        <v>28</v>
      </c>
      <c r="W3" s="103">
        <v>84</v>
      </c>
      <c r="X3" s="103">
        <v>438</v>
      </c>
      <c r="Y3" s="103">
        <v>106</v>
      </c>
      <c r="Z3" s="103">
        <v>163</v>
      </c>
      <c r="AA3" s="103">
        <v>459</v>
      </c>
      <c r="AB3" s="103">
        <v>185</v>
      </c>
      <c r="AC3" s="103">
        <v>331</v>
      </c>
      <c r="AD3" s="103">
        <v>271</v>
      </c>
      <c r="AE3" s="103">
        <v>94</v>
      </c>
      <c r="AF3" s="103">
        <v>384</v>
      </c>
      <c r="AG3" s="103">
        <v>0</v>
      </c>
      <c r="AH3" s="103"/>
      <c r="AI3" s="110">
        <f t="shared" ref="AI3:AI23" si="0">AVERAGE(D3:AG3)</f>
        <v>160.46666666666667</v>
      </c>
      <c r="AJ3" s="111">
        <v>10000</v>
      </c>
      <c r="AK3" s="111">
        <f t="shared" ref="AK3:AK23" si="1">SUM(D3:AH3)</f>
        <v>4814</v>
      </c>
      <c r="AL3" s="112">
        <f t="shared" ref="AL3:AL12" si="2">AK3/AJ3</f>
        <v>0.48139999999999999</v>
      </c>
      <c r="AM3" s="113">
        <f t="shared" ref="AM3:AM12" si="3">AJ3-AK3</f>
        <v>5186</v>
      </c>
    </row>
    <row r="4" spans="1:39" ht="20">
      <c r="A4" s="326">
        <v>2</v>
      </c>
      <c r="B4" s="200" t="s">
        <v>40</v>
      </c>
      <c r="C4" s="98" t="s">
        <v>160</v>
      </c>
      <c r="D4" s="103">
        <v>227</v>
      </c>
      <c r="E4" s="103">
        <v>97</v>
      </c>
      <c r="F4" s="103">
        <v>96</v>
      </c>
      <c r="G4" s="103">
        <v>254</v>
      </c>
      <c r="H4" s="103">
        <v>169</v>
      </c>
      <c r="I4" s="103">
        <v>234</v>
      </c>
      <c r="J4" s="103">
        <v>81</v>
      </c>
      <c r="K4" s="103">
        <v>17</v>
      </c>
      <c r="L4" s="103">
        <v>0</v>
      </c>
      <c r="M4" s="103">
        <v>0</v>
      </c>
      <c r="N4" s="103">
        <v>212</v>
      </c>
      <c r="O4" s="103">
        <v>203</v>
      </c>
      <c r="P4" s="103">
        <v>270</v>
      </c>
      <c r="Q4" s="103">
        <v>54</v>
      </c>
      <c r="R4" s="103">
        <v>1</v>
      </c>
      <c r="S4" s="103">
        <v>194</v>
      </c>
      <c r="T4" s="103">
        <v>228</v>
      </c>
      <c r="U4" s="103">
        <v>332</v>
      </c>
      <c r="V4" s="103">
        <v>208</v>
      </c>
      <c r="W4" s="103">
        <v>119</v>
      </c>
      <c r="X4" s="103">
        <v>287</v>
      </c>
      <c r="Y4" s="103">
        <v>1</v>
      </c>
      <c r="Z4" s="103">
        <v>204</v>
      </c>
      <c r="AA4" s="103">
        <v>78</v>
      </c>
      <c r="AB4" s="103">
        <v>234</v>
      </c>
      <c r="AC4" s="103">
        <v>114</v>
      </c>
      <c r="AD4" s="103">
        <v>0</v>
      </c>
      <c r="AE4" s="103">
        <v>71</v>
      </c>
      <c r="AF4" s="103">
        <v>341</v>
      </c>
      <c r="AG4" s="103">
        <v>182</v>
      </c>
      <c r="AH4" s="103"/>
      <c r="AI4" s="110">
        <f t="shared" si="0"/>
        <v>150.26666666666668</v>
      </c>
      <c r="AJ4" s="111">
        <v>10000</v>
      </c>
      <c r="AK4" s="111">
        <f t="shared" si="1"/>
        <v>4508</v>
      </c>
      <c r="AL4" s="112">
        <f t="shared" si="2"/>
        <v>0.45079999999999998</v>
      </c>
      <c r="AM4" s="201">
        <f t="shared" si="3"/>
        <v>5492</v>
      </c>
    </row>
    <row r="5" spans="1:39" ht="20">
      <c r="A5" s="326">
        <v>3</v>
      </c>
      <c r="B5" s="99" t="s">
        <v>33</v>
      </c>
      <c r="C5" s="98" t="s">
        <v>34</v>
      </c>
      <c r="D5" s="103">
        <v>0</v>
      </c>
      <c r="E5" s="103">
        <v>233</v>
      </c>
      <c r="F5" s="103">
        <v>86</v>
      </c>
      <c r="G5" s="103">
        <v>286</v>
      </c>
      <c r="H5" s="103">
        <v>46</v>
      </c>
      <c r="I5" s="103">
        <v>166</v>
      </c>
      <c r="J5" s="103">
        <v>284</v>
      </c>
      <c r="K5" s="103">
        <v>25</v>
      </c>
      <c r="L5" s="103">
        <v>258</v>
      </c>
      <c r="M5" s="103">
        <v>212</v>
      </c>
      <c r="N5" s="103">
        <v>85</v>
      </c>
      <c r="O5" s="103">
        <v>246</v>
      </c>
      <c r="P5" s="103">
        <v>120</v>
      </c>
      <c r="Q5" s="103">
        <v>4</v>
      </c>
      <c r="R5" s="103">
        <v>0</v>
      </c>
      <c r="S5" s="103">
        <v>0</v>
      </c>
      <c r="T5" s="103">
        <v>73</v>
      </c>
      <c r="U5" s="103">
        <v>342</v>
      </c>
      <c r="V5" s="103">
        <v>122</v>
      </c>
      <c r="W5" s="103">
        <v>254</v>
      </c>
      <c r="X5" s="103">
        <v>94</v>
      </c>
      <c r="Y5" s="103">
        <v>69</v>
      </c>
      <c r="Z5" s="103">
        <v>431</v>
      </c>
      <c r="AA5" s="103">
        <v>2</v>
      </c>
      <c r="AB5" s="103">
        <v>30</v>
      </c>
      <c r="AC5" s="103">
        <v>253</v>
      </c>
      <c r="AD5" s="103">
        <v>212</v>
      </c>
      <c r="AE5" s="103">
        <v>72</v>
      </c>
      <c r="AF5" s="103">
        <v>258</v>
      </c>
      <c r="AG5" s="103">
        <v>119</v>
      </c>
      <c r="AH5" s="103"/>
      <c r="AI5" s="110">
        <f t="shared" si="0"/>
        <v>146.06666666666666</v>
      </c>
      <c r="AJ5" s="111">
        <v>10000</v>
      </c>
      <c r="AK5" s="111">
        <f t="shared" si="1"/>
        <v>4382</v>
      </c>
      <c r="AL5" s="112">
        <f t="shared" si="2"/>
        <v>0.43819999999999998</v>
      </c>
      <c r="AM5" s="113">
        <f t="shared" si="3"/>
        <v>5618</v>
      </c>
    </row>
    <row r="6" spans="1:39" ht="20">
      <c r="A6" s="326">
        <v>4</v>
      </c>
      <c r="B6" s="99" t="s">
        <v>45</v>
      </c>
      <c r="C6" s="98" t="s">
        <v>46</v>
      </c>
      <c r="D6" s="103">
        <v>346</v>
      </c>
      <c r="E6" s="103">
        <v>87</v>
      </c>
      <c r="F6" s="103">
        <v>76</v>
      </c>
      <c r="G6" s="103">
        <v>223</v>
      </c>
      <c r="H6" s="103">
        <v>182</v>
      </c>
      <c r="I6" s="103">
        <v>0</v>
      </c>
      <c r="J6" s="103">
        <v>5</v>
      </c>
      <c r="K6" s="103">
        <v>17</v>
      </c>
      <c r="L6" s="103">
        <v>296</v>
      </c>
      <c r="M6" s="103">
        <v>1</v>
      </c>
      <c r="N6" s="103">
        <v>103</v>
      </c>
      <c r="O6" s="103">
        <v>219</v>
      </c>
      <c r="P6" s="103">
        <v>267</v>
      </c>
      <c r="Q6" s="103">
        <v>159</v>
      </c>
      <c r="R6" s="103">
        <v>4</v>
      </c>
      <c r="S6" s="103">
        <v>207</v>
      </c>
      <c r="T6" s="103">
        <v>227</v>
      </c>
      <c r="U6" s="103">
        <v>215</v>
      </c>
      <c r="V6" s="103">
        <v>98</v>
      </c>
      <c r="W6" s="103">
        <v>1</v>
      </c>
      <c r="X6" s="103">
        <v>16</v>
      </c>
      <c r="Y6" s="103">
        <v>121</v>
      </c>
      <c r="Z6" s="103">
        <v>408</v>
      </c>
      <c r="AA6" s="103">
        <v>219</v>
      </c>
      <c r="AB6" s="103">
        <v>147</v>
      </c>
      <c r="AC6" s="103">
        <v>303</v>
      </c>
      <c r="AD6" s="103">
        <v>21</v>
      </c>
      <c r="AE6" s="103">
        <v>0</v>
      </c>
      <c r="AF6" s="103">
        <v>76</v>
      </c>
      <c r="AG6" s="103">
        <v>230</v>
      </c>
      <c r="AH6" s="103"/>
      <c r="AI6" s="110">
        <f t="shared" si="0"/>
        <v>142.46666666666667</v>
      </c>
      <c r="AJ6" s="111">
        <v>10000</v>
      </c>
      <c r="AK6" s="111">
        <f t="shared" si="1"/>
        <v>4274</v>
      </c>
      <c r="AL6" s="112">
        <f t="shared" si="2"/>
        <v>0.4274</v>
      </c>
      <c r="AM6" s="113">
        <f t="shared" si="3"/>
        <v>5726</v>
      </c>
    </row>
    <row r="7" spans="1:39" ht="20.5" customHeight="1">
      <c r="A7" s="326">
        <v>5</v>
      </c>
      <c r="B7" s="99" t="s">
        <v>38</v>
      </c>
      <c r="C7" s="98" t="s">
        <v>39</v>
      </c>
      <c r="D7" s="103">
        <v>226</v>
      </c>
      <c r="E7" s="103">
        <v>97</v>
      </c>
      <c r="F7" s="103">
        <v>96</v>
      </c>
      <c r="G7" s="103">
        <v>243</v>
      </c>
      <c r="H7" s="103">
        <v>77</v>
      </c>
      <c r="I7" s="103">
        <v>110</v>
      </c>
      <c r="J7" s="103">
        <v>214</v>
      </c>
      <c r="K7" s="103">
        <v>93</v>
      </c>
      <c r="L7" s="103">
        <v>3</v>
      </c>
      <c r="M7" s="103">
        <v>0</v>
      </c>
      <c r="N7" s="103">
        <v>172</v>
      </c>
      <c r="O7" s="103">
        <v>138</v>
      </c>
      <c r="P7" s="103">
        <v>271</v>
      </c>
      <c r="Q7" s="103">
        <v>162</v>
      </c>
      <c r="R7" s="103">
        <v>1</v>
      </c>
      <c r="S7" s="103">
        <v>192</v>
      </c>
      <c r="T7" s="103">
        <v>228</v>
      </c>
      <c r="U7" s="103">
        <v>230</v>
      </c>
      <c r="V7" s="103">
        <v>98</v>
      </c>
      <c r="W7" s="103">
        <v>0</v>
      </c>
      <c r="X7" s="103">
        <v>12</v>
      </c>
      <c r="Y7" s="103">
        <v>122</v>
      </c>
      <c r="Z7" s="103">
        <v>296</v>
      </c>
      <c r="AA7" s="103">
        <v>375</v>
      </c>
      <c r="AB7" s="103">
        <v>108</v>
      </c>
      <c r="AC7" s="103">
        <v>310</v>
      </c>
      <c r="AD7" s="103">
        <v>16</v>
      </c>
      <c r="AE7" s="103">
        <v>0</v>
      </c>
      <c r="AF7" s="103">
        <v>79</v>
      </c>
      <c r="AG7" s="103">
        <v>221</v>
      </c>
      <c r="AH7" s="103"/>
      <c r="AI7" s="110">
        <f t="shared" si="0"/>
        <v>139.66666666666666</v>
      </c>
      <c r="AJ7" s="111">
        <v>10000</v>
      </c>
      <c r="AK7" s="111">
        <f t="shared" si="1"/>
        <v>4190</v>
      </c>
      <c r="AL7" s="112">
        <f t="shared" si="2"/>
        <v>0.41899999999999998</v>
      </c>
      <c r="AM7" s="113">
        <f t="shared" si="3"/>
        <v>5810</v>
      </c>
    </row>
    <row r="8" spans="1:39" ht="20">
      <c r="A8" s="326">
        <v>6</v>
      </c>
      <c r="B8" s="99" t="s">
        <v>43</v>
      </c>
      <c r="C8" s="98" t="s">
        <v>164</v>
      </c>
      <c r="D8" s="103">
        <v>348</v>
      </c>
      <c r="E8" s="103">
        <v>111</v>
      </c>
      <c r="F8" s="103">
        <v>4</v>
      </c>
      <c r="G8" s="103">
        <v>112</v>
      </c>
      <c r="H8" s="103">
        <v>291</v>
      </c>
      <c r="I8" s="103">
        <v>131</v>
      </c>
      <c r="J8" s="103">
        <v>53</v>
      </c>
      <c r="K8" s="103">
        <v>4</v>
      </c>
      <c r="L8" s="103">
        <v>182</v>
      </c>
      <c r="M8" s="103">
        <v>160</v>
      </c>
      <c r="N8" s="103">
        <v>290</v>
      </c>
      <c r="O8" s="103">
        <v>117</v>
      </c>
      <c r="P8" s="103">
        <v>12</v>
      </c>
      <c r="Q8" s="103">
        <v>3</v>
      </c>
      <c r="R8" s="103">
        <v>4</v>
      </c>
      <c r="S8" s="103">
        <v>1</v>
      </c>
      <c r="T8" s="103">
        <v>203</v>
      </c>
      <c r="U8" s="103">
        <v>343</v>
      </c>
      <c r="V8" s="103">
        <v>183</v>
      </c>
      <c r="W8" s="103">
        <v>1</v>
      </c>
      <c r="X8" s="103">
        <v>2</v>
      </c>
      <c r="Y8" s="103">
        <v>84</v>
      </c>
      <c r="Z8" s="103">
        <v>171</v>
      </c>
      <c r="AA8" s="103">
        <v>90</v>
      </c>
      <c r="AB8" s="103">
        <v>292</v>
      </c>
      <c r="AC8" s="103">
        <v>119</v>
      </c>
      <c r="AD8" s="103">
        <v>1</v>
      </c>
      <c r="AE8" s="103">
        <v>1</v>
      </c>
      <c r="AF8" s="103">
        <v>203</v>
      </c>
      <c r="AG8" s="103">
        <v>244</v>
      </c>
      <c r="AH8" s="103"/>
      <c r="AI8" s="110">
        <f t="shared" si="0"/>
        <v>125.33333333333333</v>
      </c>
      <c r="AJ8" s="111">
        <v>10000</v>
      </c>
      <c r="AK8" s="111">
        <f t="shared" si="1"/>
        <v>3760</v>
      </c>
      <c r="AL8" s="112">
        <f t="shared" si="2"/>
        <v>0.376</v>
      </c>
      <c r="AM8" s="113">
        <f t="shared" si="3"/>
        <v>6240</v>
      </c>
    </row>
    <row r="9" spans="1:39" ht="20">
      <c r="A9" s="326">
        <v>7</v>
      </c>
      <c r="B9" s="99" t="s">
        <v>47</v>
      </c>
      <c r="C9" s="98" t="s">
        <v>48</v>
      </c>
      <c r="D9" s="103">
        <v>0</v>
      </c>
      <c r="E9" s="103">
        <v>306</v>
      </c>
      <c r="F9" s="103">
        <v>0</v>
      </c>
      <c r="G9" s="103">
        <v>52</v>
      </c>
      <c r="H9" s="103">
        <v>256</v>
      </c>
      <c r="I9" s="103">
        <v>112</v>
      </c>
      <c r="J9" s="103">
        <v>52</v>
      </c>
      <c r="K9" s="103">
        <v>1</v>
      </c>
      <c r="L9" s="103">
        <v>194</v>
      </c>
      <c r="M9" s="103">
        <v>236</v>
      </c>
      <c r="N9" s="103">
        <v>239</v>
      </c>
      <c r="O9" s="103">
        <v>83</v>
      </c>
      <c r="P9" s="103">
        <v>13</v>
      </c>
      <c r="Q9" s="103">
        <v>2</v>
      </c>
      <c r="R9" s="103">
        <v>3</v>
      </c>
      <c r="S9" s="103">
        <v>129</v>
      </c>
      <c r="T9" s="103">
        <v>441</v>
      </c>
      <c r="U9" s="103">
        <v>163</v>
      </c>
      <c r="V9" s="103">
        <v>0</v>
      </c>
      <c r="W9" s="103">
        <v>0</v>
      </c>
      <c r="X9" s="103">
        <v>0</v>
      </c>
      <c r="Y9" s="103">
        <v>96</v>
      </c>
      <c r="Z9" s="103">
        <v>159</v>
      </c>
      <c r="AA9" s="103">
        <v>177</v>
      </c>
      <c r="AB9" s="103">
        <v>309</v>
      </c>
      <c r="AC9" s="103">
        <v>24</v>
      </c>
      <c r="AD9" s="103">
        <v>3</v>
      </c>
      <c r="AE9" s="103">
        <v>70</v>
      </c>
      <c r="AF9" s="103">
        <v>342</v>
      </c>
      <c r="AG9" s="103">
        <v>182</v>
      </c>
      <c r="AH9" s="103"/>
      <c r="AI9" s="110">
        <f t="shared" si="0"/>
        <v>121.46666666666667</v>
      </c>
      <c r="AJ9" s="111">
        <v>10000</v>
      </c>
      <c r="AK9" s="111">
        <f t="shared" si="1"/>
        <v>3644</v>
      </c>
      <c r="AL9" s="112">
        <f t="shared" si="2"/>
        <v>0.3644</v>
      </c>
      <c r="AM9" s="113">
        <f t="shared" si="3"/>
        <v>6356</v>
      </c>
    </row>
    <row r="10" spans="1:39" ht="20">
      <c r="A10" s="326">
        <v>8</v>
      </c>
      <c r="B10" s="115" t="s">
        <v>58</v>
      </c>
      <c r="C10" s="98" t="s">
        <v>59</v>
      </c>
      <c r="D10" s="103">
        <v>1</v>
      </c>
      <c r="E10" s="103">
        <v>2</v>
      </c>
      <c r="F10" s="103">
        <v>4</v>
      </c>
      <c r="G10" s="103">
        <v>81</v>
      </c>
      <c r="H10" s="103">
        <v>160</v>
      </c>
      <c r="I10" s="103">
        <v>190</v>
      </c>
      <c r="J10" s="103">
        <v>132</v>
      </c>
      <c r="K10" s="103">
        <v>1</v>
      </c>
      <c r="L10" s="103">
        <v>5</v>
      </c>
      <c r="M10" s="103">
        <v>202</v>
      </c>
      <c r="N10" s="103">
        <v>211</v>
      </c>
      <c r="O10" s="103">
        <v>257</v>
      </c>
      <c r="P10" s="103">
        <v>81</v>
      </c>
      <c r="Q10" s="103">
        <v>0</v>
      </c>
      <c r="R10" s="103">
        <v>0</v>
      </c>
      <c r="S10" s="103">
        <v>11</v>
      </c>
      <c r="T10" s="103">
        <v>4</v>
      </c>
      <c r="U10" s="103">
        <v>117</v>
      </c>
      <c r="V10" s="103">
        <v>296</v>
      </c>
      <c r="W10" s="103">
        <v>46</v>
      </c>
      <c r="X10" s="103">
        <v>142</v>
      </c>
      <c r="Y10" s="103">
        <v>3</v>
      </c>
      <c r="Z10" s="103">
        <v>508</v>
      </c>
      <c r="AA10" s="103">
        <v>114</v>
      </c>
      <c r="AB10" s="103">
        <v>108</v>
      </c>
      <c r="AC10" s="103">
        <v>303</v>
      </c>
      <c r="AD10" s="103">
        <v>43</v>
      </c>
      <c r="AE10" s="103">
        <v>138</v>
      </c>
      <c r="AF10" s="103">
        <v>179</v>
      </c>
      <c r="AG10" s="103">
        <v>136</v>
      </c>
      <c r="AH10" s="103"/>
      <c r="AI10" s="110">
        <f t="shared" si="0"/>
        <v>115.83333333333333</v>
      </c>
      <c r="AJ10" s="111">
        <v>10000</v>
      </c>
      <c r="AK10" s="111">
        <f t="shared" si="1"/>
        <v>3475</v>
      </c>
      <c r="AL10" s="112">
        <f t="shared" si="2"/>
        <v>0.34749999999999998</v>
      </c>
      <c r="AM10" s="113">
        <f t="shared" si="3"/>
        <v>6525</v>
      </c>
    </row>
    <row r="11" spans="1:39" ht="20">
      <c r="A11" s="326">
        <v>9</v>
      </c>
      <c r="B11" s="99" t="s">
        <v>51</v>
      </c>
      <c r="C11" s="98" t="s">
        <v>165</v>
      </c>
      <c r="D11" s="103">
        <v>0</v>
      </c>
      <c r="E11" s="103">
        <v>6</v>
      </c>
      <c r="F11" s="103">
        <v>0</v>
      </c>
      <c r="G11" s="103">
        <v>332</v>
      </c>
      <c r="H11" s="103">
        <v>158</v>
      </c>
      <c r="I11" s="103">
        <v>303</v>
      </c>
      <c r="J11" s="103">
        <v>0</v>
      </c>
      <c r="K11" s="103">
        <v>0</v>
      </c>
      <c r="L11" s="103">
        <v>55</v>
      </c>
      <c r="M11" s="103">
        <v>43</v>
      </c>
      <c r="N11" s="103">
        <v>117</v>
      </c>
      <c r="O11" s="103">
        <v>129</v>
      </c>
      <c r="P11" s="103">
        <v>201</v>
      </c>
      <c r="Q11" s="103">
        <v>1</v>
      </c>
      <c r="R11" s="103">
        <v>174</v>
      </c>
      <c r="S11" s="103">
        <v>0</v>
      </c>
      <c r="T11" s="103">
        <v>0</v>
      </c>
      <c r="U11" s="103">
        <v>14</v>
      </c>
      <c r="V11" s="103">
        <v>0</v>
      </c>
      <c r="W11" s="103">
        <v>83</v>
      </c>
      <c r="X11" s="103">
        <v>296</v>
      </c>
      <c r="Y11" s="103">
        <v>220</v>
      </c>
      <c r="Z11" s="103">
        <v>197</v>
      </c>
      <c r="AA11" s="103">
        <v>213</v>
      </c>
      <c r="AB11" s="103">
        <v>174</v>
      </c>
      <c r="AC11" s="103">
        <v>12</v>
      </c>
      <c r="AD11" s="103">
        <v>0</v>
      </c>
      <c r="AE11" s="103">
        <v>0</v>
      </c>
      <c r="AF11" s="103">
        <v>168</v>
      </c>
      <c r="AG11" s="103">
        <v>282</v>
      </c>
      <c r="AH11" s="103"/>
      <c r="AI11" s="110">
        <f t="shared" si="0"/>
        <v>105.93333333333334</v>
      </c>
      <c r="AJ11" s="111">
        <v>10000</v>
      </c>
      <c r="AK11" s="111">
        <f t="shared" si="1"/>
        <v>3178</v>
      </c>
      <c r="AL11" s="112">
        <f t="shared" si="2"/>
        <v>0.31780000000000003</v>
      </c>
      <c r="AM11" s="113">
        <f t="shared" si="3"/>
        <v>6822</v>
      </c>
    </row>
    <row r="12" spans="1:39" ht="20">
      <c r="A12" s="326">
        <v>10</v>
      </c>
      <c r="B12" s="99" t="s">
        <v>60</v>
      </c>
      <c r="C12" s="98" t="s">
        <v>323</v>
      </c>
      <c r="D12" s="103">
        <v>0</v>
      </c>
      <c r="E12" s="103">
        <v>0</v>
      </c>
      <c r="F12" s="103">
        <v>0</v>
      </c>
      <c r="G12" s="103">
        <v>0</v>
      </c>
      <c r="H12" s="103">
        <v>7</v>
      </c>
      <c r="I12" s="103">
        <v>4</v>
      </c>
      <c r="J12" s="103">
        <v>1</v>
      </c>
      <c r="K12" s="103">
        <v>334</v>
      </c>
      <c r="L12" s="103">
        <v>265</v>
      </c>
      <c r="M12" s="103">
        <v>141</v>
      </c>
      <c r="N12" s="103">
        <v>106</v>
      </c>
      <c r="O12" s="103">
        <v>314</v>
      </c>
      <c r="P12" s="103">
        <v>299</v>
      </c>
      <c r="Q12" s="103">
        <v>1</v>
      </c>
      <c r="R12" s="103">
        <v>12</v>
      </c>
      <c r="S12" s="103">
        <v>0</v>
      </c>
      <c r="T12" s="103">
        <v>0</v>
      </c>
      <c r="U12" s="103">
        <v>12</v>
      </c>
      <c r="V12" s="103">
        <v>1</v>
      </c>
      <c r="W12" s="103">
        <v>7</v>
      </c>
      <c r="X12" s="103">
        <v>327</v>
      </c>
      <c r="Y12" s="103">
        <v>255</v>
      </c>
      <c r="Z12" s="103">
        <v>136</v>
      </c>
      <c r="AA12" s="103">
        <v>397</v>
      </c>
      <c r="AB12" s="103">
        <v>64</v>
      </c>
      <c r="AC12" s="103">
        <v>20</v>
      </c>
      <c r="AD12" s="103">
        <v>1</v>
      </c>
      <c r="AE12" s="103">
        <v>19</v>
      </c>
      <c r="AF12" s="103">
        <v>307</v>
      </c>
      <c r="AG12" s="103">
        <v>116</v>
      </c>
      <c r="AH12" s="103"/>
      <c r="AI12" s="110">
        <f t="shared" si="0"/>
        <v>104.86666666666666</v>
      </c>
      <c r="AJ12" s="111">
        <v>10000</v>
      </c>
      <c r="AK12" s="111">
        <f t="shared" si="1"/>
        <v>3146</v>
      </c>
      <c r="AL12" s="112">
        <f t="shared" si="2"/>
        <v>0.31459999999999999</v>
      </c>
      <c r="AM12" s="113">
        <f t="shared" si="3"/>
        <v>6854</v>
      </c>
    </row>
    <row r="13" spans="1:39" ht="20">
      <c r="A13" s="326">
        <v>11</v>
      </c>
      <c r="B13" s="200" t="s">
        <v>41</v>
      </c>
      <c r="C13" s="98" t="s">
        <v>42</v>
      </c>
      <c r="D13" s="103">
        <v>231</v>
      </c>
      <c r="E13" s="103">
        <v>85</v>
      </c>
      <c r="F13" s="103">
        <v>8</v>
      </c>
      <c r="G13" s="103">
        <v>287</v>
      </c>
      <c r="H13" s="103">
        <v>68</v>
      </c>
      <c r="I13" s="103">
        <v>224</v>
      </c>
      <c r="J13" s="103">
        <v>301</v>
      </c>
      <c r="K13" s="103">
        <v>0</v>
      </c>
      <c r="L13" s="103">
        <v>197</v>
      </c>
      <c r="M13" s="103">
        <v>283</v>
      </c>
      <c r="N13" s="103">
        <v>17</v>
      </c>
      <c r="O13" s="103">
        <v>1</v>
      </c>
      <c r="P13" s="103">
        <v>12</v>
      </c>
      <c r="Q13" s="103">
        <v>8</v>
      </c>
      <c r="R13" s="103">
        <v>7</v>
      </c>
      <c r="S13" s="103">
        <v>201</v>
      </c>
      <c r="T13" s="103">
        <v>116</v>
      </c>
      <c r="U13" s="103">
        <v>276</v>
      </c>
      <c r="V13" s="103">
        <v>3</v>
      </c>
      <c r="W13" s="103">
        <v>0</v>
      </c>
      <c r="X13" s="103">
        <v>3</v>
      </c>
      <c r="Y13" s="103">
        <v>3</v>
      </c>
      <c r="Z13" s="103">
        <v>51</v>
      </c>
      <c r="AA13" s="103">
        <v>204</v>
      </c>
      <c r="AB13" s="103">
        <v>154</v>
      </c>
      <c r="AC13" s="103">
        <v>252</v>
      </c>
      <c r="AD13" s="103">
        <v>103</v>
      </c>
      <c r="AE13" s="103">
        <v>3</v>
      </c>
      <c r="AF13" s="103">
        <v>2</v>
      </c>
      <c r="AG13" s="103">
        <v>15</v>
      </c>
      <c r="AH13" s="103"/>
      <c r="AI13" s="110">
        <f t="shared" si="0"/>
        <v>103.83333333333333</v>
      </c>
      <c r="AJ13" s="111">
        <v>10000</v>
      </c>
      <c r="AK13" s="111">
        <f t="shared" si="1"/>
        <v>3115</v>
      </c>
      <c r="AL13" s="112">
        <v>0.43</v>
      </c>
      <c r="AM13" s="201">
        <v>3334</v>
      </c>
    </row>
    <row r="14" spans="1:39" ht="20">
      <c r="A14" s="326">
        <v>12</v>
      </c>
      <c r="B14" s="109" t="s">
        <v>53</v>
      </c>
      <c r="C14" s="98" t="s">
        <v>322</v>
      </c>
      <c r="D14" s="103">
        <v>0</v>
      </c>
      <c r="E14" s="103">
        <v>0</v>
      </c>
      <c r="F14" s="103">
        <v>1</v>
      </c>
      <c r="G14" s="103">
        <v>1</v>
      </c>
      <c r="H14" s="103">
        <v>1</v>
      </c>
      <c r="I14" s="103">
        <v>1</v>
      </c>
      <c r="J14" s="103">
        <v>12</v>
      </c>
      <c r="K14" s="103">
        <v>1</v>
      </c>
      <c r="L14" s="103">
        <v>198</v>
      </c>
      <c r="M14" s="103">
        <v>370</v>
      </c>
      <c r="N14" s="103">
        <v>187</v>
      </c>
      <c r="O14" s="103">
        <v>1</v>
      </c>
      <c r="P14" s="103">
        <v>3</v>
      </c>
      <c r="Q14" s="103">
        <v>1</v>
      </c>
      <c r="R14" s="103">
        <v>80</v>
      </c>
      <c r="S14" s="103">
        <v>326</v>
      </c>
      <c r="T14" s="103">
        <v>240</v>
      </c>
      <c r="U14" s="103">
        <v>79</v>
      </c>
      <c r="V14" s="103">
        <v>82</v>
      </c>
      <c r="W14" s="103">
        <v>0</v>
      </c>
      <c r="X14" s="103">
        <v>0</v>
      </c>
      <c r="Y14" s="103">
        <v>15</v>
      </c>
      <c r="Z14" s="103">
        <v>4</v>
      </c>
      <c r="AA14" s="103">
        <v>199</v>
      </c>
      <c r="AB14" s="103">
        <v>352</v>
      </c>
      <c r="AC14" s="103">
        <v>230</v>
      </c>
      <c r="AD14" s="103">
        <v>154</v>
      </c>
      <c r="AE14" s="103">
        <v>184</v>
      </c>
      <c r="AF14" s="103">
        <v>75</v>
      </c>
      <c r="AG14" s="103">
        <v>13</v>
      </c>
      <c r="AH14" s="103"/>
      <c r="AI14" s="110">
        <f t="shared" si="0"/>
        <v>93.666666666666671</v>
      </c>
      <c r="AJ14" s="111">
        <v>10000</v>
      </c>
      <c r="AK14" s="111">
        <f t="shared" si="1"/>
        <v>2810</v>
      </c>
      <c r="AL14" s="112">
        <f t="shared" ref="AL14:AL24" si="4">AK14/AJ14</f>
        <v>0.28100000000000003</v>
      </c>
      <c r="AM14" s="113">
        <f t="shared" ref="AM14:AM23" si="5">AJ14-AK14</f>
        <v>7190</v>
      </c>
    </row>
    <row r="15" spans="1:39" ht="20">
      <c r="A15" s="326">
        <v>13</v>
      </c>
      <c r="B15" s="99" t="s">
        <v>49</v>
      </c>
      <c r="C15" s="98" t="s">
        <v>50</v>
      </c>
      <c r="D15" s="103">
        <v>90</v>
      </c>
      <c r="E15" s="103">
        <v>1</v>
      </c>
      <c r="F15" s="103">
        <v>226</v>
      </c>
      <c r="G15" s="103">
        <v>189</v>
      </c>
      <c r="H15" s="103">
        <v>0</v>
      </c>
      <c r="I15" s="103">
        <v>15</v>
      </c>
      <c r="J15" s="103">
        <v>5</v>
      </c>
      <c r="K15" s="103">
        <v>95</v>
      </c>
      <c r="L15" s="103">
        <v>98</v>
      </c>
      <c r="M15" s="103">
        <v>137</v>
      </c>
      <c r="N15" s="103">
        <v>325</v>
      </c>
      <c r="O15" s="103">
        <v>97</v>
      </c>
      <c r="P15" s="103">
        <v>0</v>
      </c>
      <c r="Q15" s="103">
        <v>0</v>
      </c>
      <c r="R15" s="103">
        <v>11</v>
      </c>
      <c r="S15" s="103">
        <v>2</v>
      </c>
      <c r="T15" s="103">
        <v>3</v>
      </c>
      <c r="U15" s="103">
        <v>90</v>
      </c>
      <c r="V15" s="103">
        <v>246</v>
      </c>
      <c r="W15" s="103">
        <v>35</v>
      </c>
      <c r="X15" s="103">
        <v>194</v>
      </c>
      <c r="Y15" s="103">
        <v>37</v>
      </c>
      <c r="Z15" s="103">
        <v>397</v>
      </c>
      <c r="AA15" s="103">
        <v>204</v>
      </c>
      <c r="AB15" s="103">
        <v>26</v>
      </c>
      <c r="AC15" s="103">
        <v>0</v>
      </c>
      <c r="AD15" s="103">
        <v>13</v>
      </c>
      <c r="AE15" s="103">
        <v>0</v>
      </c>
      <c r="AF15" s="103">
        <v>6</v>
      </c>
      <c r="AG15" s="103">
        <v>204</v>
      </c>
      <c r="AH15" s="103"/>
      <c r="AI15" s="110">
        <f t="shared" si="0"/>
        <v>91.533333333333331</v>
      </c>
      <c r="AJ15" s="111">
        <v>10000</v>
      </c>
      <c r="AK15" s="111">
        <f t="shared" si="1"/>
        <v>2746</v>
      </c>
      <c r="AL15" s="112">
        <f t="shared" si="4"/>
        <v>0.27460000000000001</v>
      </c>
      <c r="AM15" s="113">
        <f t="shared" si="5"/>
        <v>7254</v>
      </c>
    </row>
    <row r="16" spans="1:39" ht="20">
      <c r="A16" s="326">
        <v>14</v>
      </c>
      <c r="B16" s="99" t="s">
        <v>37</v>
      </c>
      <c r="C16" s="98" t="s">
        <v>73</v>
      </c>
      <c r="D16" s="103">
        <v>0</v>
      </c>
      <c r="E16" s="103">
        <v>0</v>
      </c>
      <c r="F16" s="103">
        <v>0</v>
      </c>
      <c r="G16" s="103">
        <v>30</v>
      </c>
      <c r="H16" s="103">
        <v>231</v>
      </c>
      <c r="I16" s="103">
        <v>17</v>
      </c>
      <c r="J16" s="103">
        <v>1</v>
      </c>
      <c r="K16" s="103">
        <v>70</v>
      </c>
      <c r="L16" s="103">
        <v>1</v>
      </c>
      <c r="M16" s="103">
        <v>1</v>
      </c>
      <c r="N16" s="103">
        <v>1</v>
      </c>
      <c r="O16" s="103">
        <v>75</v>
      </c>
      <c r="P16" s="103">
        <v>0</v>
      </c>
      <c r="Q16" s="103">
        <v>218</v>
      </c>
      <c r="R16" s="103">
        <v>145</v>
      </c>
      <c r="S16" s="103">
        <v>0</v>
      </c>
      <c r="T16" s="103">
        <v>31</v>
      </c>
      <c r="U16" s="103">
        <v>259</v>
      </c>
      <c r="V16" s="103">
        <v>210</v>
      </c>
      <c r="W16" s="103">
        <v>60</v>
      </c>
      <c r="X16" s="103">
        <v>257</v>
      </c>
      <c r="Y16" s="103">
        <v>1</v>
      </c>
      <c r="Z16" s="103">
        <v>208</v>
      </c>
      <c r="AA16" s="103">
        <v>131</v>
      </c>
      <c r="AB16" s="103">
        <v>136</v>
      </c>
      <c r="AC16" s="103">
        <v>210</v>
      </c>
      <c r="AD16" s="103">
        <v>233</v>
      </c>
      <c r="AE16" s="103">
        <v>82</v>
      </c>
      <c r="AF16" s="103">
        <v>11</v>
      </c>
      <c r="AG16" s="103">
        <v>105</v>
      </c>
      <c r="AH16" s="103"/>
      <c r="AI16" s="110">
        <f t="shared" si="0"/>
        <v>90.8</v>
      </c>
      <c r="AJ16" s="111">
        <v>10000</v>
      </c>
      <c r="AK16" s="111">
        <f t="shared" si="1"/>
        <v>2724</v>
      </c>
      <c r="AL16" s="112">
        <f t="shared" si="4"/>
        <v>0.27239999999999998</v>
      </c>
      <c r="AM16" s="113">
        <f t="shared" si="5"/>
        <v>7276</v>
      </c>
    </row>
    <row r="17" spans="1:39" ht="20">
      <c r="A17" s="326">
        <v>15</v>
      </c>
      <c r="B17" s="99" t="s">
        <v>55</v>
      </c>
      <c r="C17" s="98" t="s">
        <v>321</v>
      </c>
      <c r="D17" s="103">
        <v>1</v>
      </c>
      <c r="E17" s="103">
        <v>0</v>
      </c>
      <c r="F17" s="103">
        <v>0</v>
      </c>
      <c r="G17" s="103">
        <v>0</v>
      </c>
      <c r="H17" s="103">
        <v>0</v>
      </c>
      <c r="I17" s="103">
        <v>0</v>
      </c>
      <c r="J17" s="103">
        <v>0</v>
      </c>
      <c r="K17" s="103">
        <v>0</v>
      </c>
      <c r="L17" s="103">
        <v>1</v>
      </c>
      <c r="M17" s="103">
        <v>100</v>
      </c>
      <c r="N17" s="103">
        <v>193</v>
      </c>
      <c r="O17" s="103">
        <v>133</v>
      </c>
      <c r="P17" s="103">
        <v>235</v>
      </c>
      <c r="Q17" s="103">
        <v>87</v>
      </c>
      <c r="R17" s="103">
        <v>12</v>
      </c>
      <c r="S17" s="103">
        <v>0</v>
      </c>
      <c r="T17" s="103">
        <v>0</v>
      </c>
      <c r="U17" s="103">
        <v>13</v>
      </c>
      <c r="V17" s="103">
        <v>0</v>
      </c>
      <c r="W17" s="103">
        <v>68</v>
      </c>
      <c r="X17" s="103">
        <v>499</v>
      </c>
      <c r="Y17" s="103">
        <v>37</v>
      </c>
      <c r="Z17" s="103">
        <v>281</v>
      </c>
      <c r="AA17" s="103">
        <v>318</v>
      </c>
      <c r="AB17" s="103">
        <v>1</v>
      </c>
      <c r="AC17" s="103">
        <v>3</v>
      </c>
      <c r="AD17" s="103">
        <v>1</v>
      </c>
      <c r="AE17" s="103">
        <v>53</v>
      </c>
      <c r="AF17" s="103">
        <v>268</v>
      </c>
      <c r="AG17" s="103">
        <v>128</v>
      </c>
      <c r="AH17" s="103"/>
      <c r="AI17" s="110">
        <f t="shared" si="0"/>
        <v>81.066666666666663</v>
      </c>
      <c r="AJ17" s="111">
        <v>10000</v>
      </c>
      <c r="AK17" s="111">
        <f t="shared" si="1"/>
        <v>2432</v>
      </c>
      <c r="AL17" s="112">
        <f t="shared" si="4"/>
        <v>0.2432</v>
      </c>
      <c r="AM17" s="113">
        <f t="shared" si="5"/>
        <v>7568</v>
      </c>
    </row>
    <row r="18" spans="1:39" ht="20">
      <c r="A18" s="326">
        <v>16</v>
      </c>
      <c r="B18" s="99" t="s">
        <v>64</v>
      </c>
      <c r="C18" s="98" t="s">
        <v>311</v>
      </c>
      <c r="D18" s="103">
        <v>1</v>
      </c>
      <c r="E18" s="103">
        <v>229</v>
      </c>
      <c r="F18" s="103">
        <v>99</v>
      </c>
      <c r="G18" s="103">
        <v>226</v>
      </c>
      <c r="H18" s="103">
        <v>41</v>
      </c>
      <c r="I18" s="103">
        <v>229</v>
      </c>
      <c r="J18" s="103">
        <v>183</v>
      </c>
      <c r="K18" s="103">
        <v>1</v>
      </c>
      <c r="L18" s="103">
        <v>71</v>
      </c>
      <c r="M18" s="103">
        <v>186</v>
      </c>
      <c r="N18" s="103">
        <v>78</v>
      </c>
      <c r="O18" s="103">
        <v>91</v>
      </c>
      <c r="P18" s="103">
        <v>228</v>
      </c>
      <c r="Q18" s="103">
        <v>81</v>
      </c>
      <c r="R18" s="103">
        <v>15</v>
      </c>
      <c r="S18" s="103">
        <v>10</v>
      </c>
      <c r="T18" s="103">
        <v>8</v>
      </c>
      <c r="U18" s="103">
        <v>42</v>
      </c>
      <c r="V18" s="103">
        <v>43</v>
      </c>
      <c r="W18" s="103">
        <v>2</v>
      </c>
      <c r="X18" s="103">
        <v>0</v>
      </c>
      <c r="Y18" s="103">
        <v>0</v>
      </c>
      <c r="Z18" s="103">
        <v>0</v>
      </c>
      <c r="AA18" s="103">
        <v>0</v>
      </c>
      <c r="AB18" s="103">
        <v>0</v>
      </c>
      <c r="AC18" s="103">
        <v>0</v>
      </c>
      <c r="AD18" s="103">
        <v>0</v>
      </c>
      <c r="AE18" s="103">
        <v>0</v>
      </c>
      <c r="AF18" s="103">
        <v>0</v>
      </c>
      <c r="AG18" s="103">
        <v>0</v>
      </c>
      <c r="AH18" s="103"/>
      <c r="AI18" s="110">
        <f t="shared" si="0"/>
        <v>62.133333333333333</v>
      </c>
      <c r="AJ18" s="111">
        <v>10000</v>
      </c>
      <c r="AK18" s="111">
        <f t="shared" si="1"/>
        <v>1864</v>
      </c>
      <c r="AL18" s="112">
        <f t="shared" si="4"/>
        <v>0.18640000000000001</v>
      </c>
      <c r="AM18" s="113">
        <f t="shared" si="5"/>
        <v>8136</v>
      </c>
    </row>
    <row r="19" spans="1:39" ht="20">
      <c r="A19" s="326">
        <v>18</v>
      </c>
      <c r="B19" s="99" t="s">
        <v>62</v>
      </c>
      <c r="C19" s="98" t="s">
        <v>63</v>
      </c>
      <c r="D19" s="103">
        <v>0</v>
      </c>
      <c r="E19" s="103">
        <v>0</v>
      </c>
      <c r="F19" s="103">
        <v>3</v>
      </c>
      <c r="G19" s="103">
        <v>11</v>
      </c>
      <c r="H19" s="103">
        <v>0</v>
      </c>
      <c r="I19" s="103">
        <v>255</v>
      </c>
      <c r="J19" s="103">
        <v>182</v>
      </c>
      <c r="K19" s="103">
        <v>1</v>
      </c>
      <c r="L19" s="103">
        <v>3</v>
      </c>
      <c r="M19" s="103">
        <v>192</v>
      </c>
      <c r="N19" s="103">
        <v>60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  <c r="AA19" s="103">
        <v>0</v>
      </c>
      <c r="AB19" s="103">
        <v>180</v>
      </c>
      <c r="AC19" s="103">
        <v>263</v>
      </c>
      <c r="AD19" s="103">
        <v>1</v>
      </c>
      <c r="AE19" s="103">
        <v>299</v>
      </c>
      <c r="AF19" s="103">
        <v>1</v>
      </c>
      <c r="AG19" s="103">
        <v>223</v>
      </c>
      <c r="AH19" s="103"/>
      <c r="AI19" s="110">
        <f t="shared" si="0"/>
        <v>55.8</v>
      </c>
      <c r="AJ19" s="111">
        <v>10000</v>
      </c>
      <c r="AK19" s="111">
        <f t="shared" si="1"/>
        <v>1674</v>
      </c>
      <c r="AL19" s="112">
        <f t="shared" si="4"/>
        <v>0.16739999999999999</v>
      </c>
      <c r="AM19" s="113">
        <f t="shared" si="5"/>
        <v>8326</v>
      </c>
    </row>
    <row r="20" spans="1:39" ht="20">
      <c r="A20" s="326">
        <v>19</v>
      </c>
      <c r="B20" s="109" t="s">
        <v>26</v>
      </c>
      <c r="C20" s="98"/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  <c r="AA20" s="103">
        <v>0</v>
      </c>
      <c r="AB20" s="103">
        <v>0</v>
      </c>
      <c r="AC20" s="103">
        <v>0</v>
      </c>
      <c r="AD20" s="103">
        <v>0</v>
      </c>
      <c r="AE20" s="103">
        <v>0</v>
      </c>
      <c r="AF20" s="103">
        <v>0</v>
      </c>
      <c r="AG20" s="103">
        <v>0</v>
      </c>
      <c r="AH20" s="103">
        <v>0</v>
      </c>
      <c r="AI20" s="110">
        <f t="shared" si="0"/>
        <v>0</v>
      </c>
      <c r="AJ20" s="111">
        <v>10000</v>
      </c>
      <c r="AK20" s="111">
        <f t="shared" si="1"/>
        <v>0</v>
      </c>
      <c r="AL20" s="112">
        <f t="shared" si="4"/>
        <v>0</v>
      </c>
      <c r="AM20" s="113">
        <f t="shared" si="5"/>
        <v>10000</v>
      </c>
    </row>
    <row r="21" spans="1:39" ht="20">
      <c r="A21" s="326">
        <v>20</v>
      </c>
      <c r="B21" s="109" t="s">
        <v>30</v>
      </c>
      <c r="C21" s="98"/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  <c r="AA21" s="103">
        <v>0</v>
      </c>
      <c r="AB21" s="103">
        <v>0</v>
      </c>
      <c r="AC21" s="103">
        <v>0</v>
      </c>
      <c r="AD21" s="103">
        <v>0</v>
      </c>
      <c r="AE21" s="103">
        <v>0</v>
      </c>
      <c r="AF21" s="103">
        <v>0</v>
      </c>
      <c r="AG21" s="103">
        <v>0</v>
      </c>
      <c r="AH21" s="103">
        <v>0</v>
      </c>
      <c r="AI21" s="110">
        <f t="shared" si="0"/>
        <v>0</v>
      </c>
      <c r="AJ21" s="111">
        <v>10000</v>
      </c>
      <c r="AK21" s="111">
        <f t="shared" si="1"/>
        <v>0</v>
      </c>
      <c r="AL21" s="112">
        <f t="shared" si="4"/>
        <v>0</v>
      </c>
      <c r="AM21" s="113">
        <f t="shared" si="5"/>
        <v>10000</v>
      </c>
    </row>
    <row r="22" spans="1:39" ht="20">
      <c r="A22" s="326">
        <v>21</v>
      </c>
      <c r="B22" s="337" t="s">
        <v>32</v>
      </c>
      <c r="C22" s="334"/>
      <c r="D22" s="335">
        <v>0</v>
      </c>
      <c r="E22" s="335">
        <v>0</v>
      </c>
      <c r="F22" s="335">
        <v>0</v>
      </c>
      <c r="G22" s="335">
        <v>0</v>
      </c>
      <c r="H22" s="335">
        <v>0</v>
      </c>
      <c r="I22" s="335">
        <v>0</v>
      </c>
      <c r="J22" s="335">
        <v>0</v>
      </c>
      <c r="K22" s="335">
        <v>0</v>
      </c>
      <c r="L22" s="335">
        <v>0</v>
      </c>
      <c r="M22" s="335">
        <v>0</v>
      </c>
      <c r="N22" s="335">
        <v>0</v>
      </c>
      <c r="O22" s="335">
        <v>0</v>
      </c>
      <c r="P22" s="335">
        <v>0</v>
      </c>
      <c r="Q22" s="335">
        <v>0</v>
      </c>
      <c r="R22" s="335">
        <v>0</v>
      </c>
      <c r="S22" s="335">
        <v>0</v>
      </c>
      <c r="T22" s="335">
        <v>0</v>
      </c>
      <c r="U22" s="335">
        <v>0</v>
      </c>
      <c r="V22" s="335">
        <v>0</v>
      </c>
      <c r="W22" s="335">
        <v>0</v>
      </c>
      <c r="X22" s="335">
        <v>0</v>
      </c>
      <c r="Y22" s="335">
        <v>0</v>
      </c>
      <c r="Z22" s="335">
        <v>0</v>
      </c>
      <c r="AA22" s="335">
        <v>0</v>
      </c>
      <c r="AB22" s="335">
        <v>0</v>
      </c>
      <c r="AC22" s="335">
        <v>0</v>
      </c>
      <c r="AD22" s="335">
        <v>0</v>
      </c>
      <c r="AE22" s="335">
        <v>0</v>
      </c>
      <c r="AF22" s="335">
        <v>0</v>
      </c>
      <c r="AG22" s="335">
        <v>0</v>
      </c>
      <c r="AH22" s="335">
        <v>0</v>
      </c>
      <c r="AI22" s="233">
        <f t="shared" si="0"/>
        <v>0</v>
      </c>
      <c r="AJ22" s="325">
        <v>10000</v>
      </c>
      <c r="AK22" s="111">
        <f t="shared" si="1"/>
        <v>0</v>
      </c>
      <c r="AL22" s="234">
        <f t="shared" si="4"/>
        <v>0</v>
      </c>
      <c r="AM22" s="235">
        <f t="shared" si="5"/>
        <v>10000</v>
      </c>
    </row>
    <row r="23" spans="1:39" ht="20">
      <c r="A23" s="326">
        <v>17</v>
      </c>
      <c r="B23" s="114" t="s">
        <v>56</v>
      </c>
      <c r="C23" s="102" t="s">
        <v>57</v>
      </c>
      <c r="D23" s="104"/>
      <c r="E23" s="104"/>
      <c r="F23" s="105"/>
      <c r="G23" s="105"/>
      <c r="H23" s="105"/>
      <c r="I23" s="104"/>
      <c r="J23" s="104"/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10" t="e">
        <f t="shared" si="0"/>
        <v>#DIV/0!</v>
      </c>
      <c r="AJ23" s="111">
        <v>10000</v>
      </c>
      <c r="AK23" s="111">
        <f t="shared" si="1"/>
        <v>0</v>
      </c>
      <c r="AL23" s="112">
        <f t="shared" si="4"/>
        <v>0</v>
      </c>
      <c r="AM23" s="113">
        <f t="shared" si="5"/>
        <v>10000</v>
      </c>
    </row>
    <row r="24" spans="1:39" s="116" customFormat="1" ht="28.5" customHeight="1">
      <c r="C24" s="124" t="s">
        <v>70</v>
      </c>
      <c r="D24" s="118">
        <f t="shared" ref="D24:R24" si="6">SUM(D6:D21)</f>
        <v>1244</v>
      </c>
      <c r="E24" s="118">
        <f t="shared" si="6"/>
        <v>924</v>
      </c>
      <c r="F24" s="118">
        <f t="shared" si="6"/>
        <v>517</v>
      </c>
      <c r="G24" s="118">
        <f t="shared" si="6"/>
        <v>1787</v>
      </c>
      <c r="H24" s="118">
        <f t="shared" si="6"/>
        <v>1472</v>
      </c>
      <c r="I24" s="118">
        <f t="shared" si="6"/>
        <v>1591</v>
      </c>
      <c r="J24" s="118">
        <f t="shared" si="6"/>
        <v>1141</v>
      </c>
      <c r="K24" s="118">
        <f t="shared" si="6"/>
        <v>618</v>
      </c>
      <c r="L24" s="118">
        <f t="shared" si="6"/>
        <v>1569</v>
      </c>
      <c r="M24" s="118">
        <f t="shared" si="6"/>
        <v>2052</v>
      </c>
      <c r="N24" s="118">
        <f t="shared" si="6"/>
        <v>2099</v>
      </c>
      <c r="O24" s="118">
        <f t="shared" si="6"/>
        <v>1655</v>
      </c>
      <c r="P24" s="118">
        <f t="shared" si="6"/>
        <v>1622</v>
      </c>
      <c r="Q24" s="118">
        <f t="shared" si="6"/>
        <v>723</v>
      </c>
      <c r="R24" s="118">
        <f t="shared" si="6"/>
        <v>468</v>
      </c>
      <c r="S24" s="118">
        <f>SUM(R6:R21)</f>
        <v>468</v>
      </c>
      <c r="T24" s="118">
        <f>SUM(S6:S21)</f>
        <v>1079</v>
      </c>
      <c r="U24" s="118">
        <f>SUM(U6:U21)</f>
        <v>1853</v>
      </c>
      <c r="V24" s="118">
        <f>SUM(V6:V21)</f>
        <v>1260</v>
      </c>
      <c r="W24" s="118">
        <f>SUM(W6:W21)</f>
        <v>303</v>
      </c>
      <c r="X24" s="118">
        <f>SUM(X6:X21)</f>
        <v>1748</v>
      </c>
      <c r="Y24" s="118">
        <f>SUM(Y6:Y21)</f>
        <v>994</v>
      </c>
      <c r="Z24" s="118">
        <f>SUM(Z6:Z20)</f>
        <v>2816</v>
      </c>
      <c r="AA24" s="118">
        <f t="shared" ref="AA24:AH24" si="7">SUM(AA6:AA21)</f>
        <v>2641</v>
      </c>
      <c r="AB24" s="118">
        <f t="shared" si="7"/>
        <v>2051</v>
      </c>
      <c r="AC24" s="118">
        <f t="shared" si="7"/>
        <v>2049</v>
      </c>
      <c r="AD24" s="118">
        <f t="shared" si="7"/>
        <v>590</v>
      </c>
      <c r="AE24" s="118">
        <f t="shared" si="7"/>
        <v>849</v>
      </c>
      <c r="AF24" s="118">
        <f t="shared" si="7"/>
        <v>1717</v>
      </c>
      <c r="AG24" s="118">
        <f t="shared" si="7"/>
        <v>2099</v>
      </c>
      <c r="AH24" s="118">
        <f t="shared" si="7"/>
        <v>0</v>
      </c>
      <c r="AI24" s="119" t="s">
        <v>66</v>
      </c>
      <c r="AJ24" s="121">
        <f>SUM(AJ6:AJ22)</f>
        <v>170000</v>
      </c>
      <c r="AK24" s="121">
        <f>SUM(AK3:AK21)</f>
        <v>56736</v>
      </c>
      <c r="AL24" s="122">
        <f t="shared" si="4"/>
        <v>0.33374117647058821</v>
      </c>
      <c r="AM24" s="119"/>
    </row>
    <row r="25" spans="1:39" s="116" customFormat="1" ht="28.5" customHeight="1">
      <c r="C25" s="124" t="s">
        <v>83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7">
        <v>3150</v>
      </c>
      <c r="AI25" s="331" t="s">
        <v>87</v>
      </c>
      <c r="AJ25" s="327">
        <f>AVERAGE(AJ6:AJ21)</f>
        <v>10000</v>
      </c>
      <c r="AK25" s="327">
        <f>AVERAGE(AK6:AK21)</f>
        <v>2689.5</v>
      </c>
    </row>
    <row r="26" spans="1:39" s="116" customFormat="1" ht="15">
      <c r="C26" s="124" t="s">
        <v>72</v>
      </c>
      <c r="D26" s="123">
        <f>D27/D28</f>
        <v>0.17277777777777778</v>
      </c>
      <c r="E26" s="123">
        <f t="shared" ref="E26:AH26" si="8">E27/E28</f>
        <v>0.12833333333333333</v>
      </c>
      <c r="F26" s="123">
        <f t="shared" si="8"/>
        <v>7.1805555555555553E-2</v>
      </c>
      <c r="G26" s="123">
        <f t="shared" si="8"/>
        <v>0.24819444444444444</v>
      </c>
      <c r="H26" s="123">
        <f>H27/H28</f>
        <v>0.20444444444444446</v>
      </c>
      <c r="I26" s="123">
        <f t="shared" si="8"/>
        <v>0.22097222222222221</v>
      </c>
      <c r="J26" s="123">
        <f t="shared" si="8"/>
        <v>0.15847222222222221</v>
      </c>
      <c r="K26" s="123">
        <f t="shared" si="8"/>
        <v>8.5833333333333331E-2</v>
      </c>
      <c r="L26" s="123">
        <f t="shared" si="8"/>
        <v>0.21791666666666668</v>
      </c>
      <c r="M26" s="123">
        <f t="shared" si="8"/>
        <v>0.28499999999999998</v>
      </c>
      <c r="N26" s="123">
        <f t="shared" si="8"/>
        <v>0.29152777777777777</v>
      </c>
      <c r="O26" s="123">
        <f t="shared" si="8"/>
        <v>0.2298611111111111</v>
      </c>
      <c r="P26" s="123">
        <f t="shared" si="8"/>
        <v>0.22527777777777777</v>
      </c>
      <c r="Q26" s="123">
        <f t="shared" si="8"/>
        <v>0.10041666666666667</v>
      </c>
      <c r="R26" s="123">
        <f t="shared" si="8"/>
        <v>6.5000000000000002E-2</v>
      </c>
      <c r="S26" s="123">
        <f>S27/S28</f>
        <v>6.5000000000000002E-2</v>
      </c>
      <c r="T26" s="123">
        <f t="shared" si="8"/>
        <v>0.14986111111111111</v>
      </c>
      <c r="U26" s="123">
        <f t="shared" si="8"/>
        <v>0.2573611111111111</v>
      </c>
      <c r="V26" s="123">
        <f t="shared" si="8"/>
        <v>0.17499999999999999</v>
      </c>
      <c r="W26" s="123">
        <f t="shared" si="8"/>
        <v>4.2083333333333334E-2</v>
      </c>
      <c r="X26" s="123">
        <f t="shared" si="8"/>
        <v>0.24277777777777779</v>
      </c>
      <c r="Y26" s="123">
        <f t="shared" si="8"/>
        <v>0.13805555555555554</v>
      </c>
      <c r="Z26" s="123">
        <f t="shared" si="8"/>
        <v>0.41718518518518516</v>
      </c>
      <c r="AA26" s="123">
        <f t="shared" si="8"/>
        <v>0.36680555555555555</v>
      </c>
      <c r="AB26" s="123">
        <f t="shared" si="8"/>
        <v>0.28486111111111112</v>
      </c>
      <c r="AC26" s="123">
        <f t="shared" si="8"/>
        <v>0.28458333333333335</v>
      </c>
      <c r="AD26" s="123">
        <f t="shared" si="8"/>
        <v>8.1944444444444445E-2</v>
      </c>
      <c r="AE26" s="123">
        <f t="shared" si="8"/>
        <v>0.11791666666666667</v>
      </c>
      <c r="AF26" s="123">
        <f t="shared" si="8"/>
        <v>0.23847222222222222</v>
      </c>
      <c r="AG26" s="123">
        <f t="shared" si="8"/>
        <v>0.29152777777777777</v>
      </c>
      <c r="AH26" s="328">
        <f t="shared" si="8"/>
        <v>0</v>
      </c>
      <c r="AI26" s="331"/>
    </row>
    <row r="27" spans="1:39" s="116" customFormat="1" ht="15">
      <c r="C27" s="124" t="s">
        <v>75</v>
      </c>
      <c r="D27" s="118">
        <f t="shared" ref="D27:R27" si="9">AVERAGE(D6:D21)</f>
        <v>77.75</v>
      </c>
      <c r="E27" s="118">
        <f t="shared" si="9"/>
        <v>57.75</v>
      </c>
      <c r="F27" s="118">
        <f t="shared" si="9"/>
        <v>32.3125</v>
      </c>
      <c r="G27" s="118">
        <f t="shared" si="9"/>
        <v>111.6875</v>
      </c>
      <c r="H27" s="118">
        <f t="shared" si="9"/>
        <v>92</v>
      </c>
      <c r="I27" s="118">
        <f t="shared" si="9"/>
        <v>99.4375</v>
      </c>
      <c r="J27" s="118">
        <f t="shared" si="9"/>
        <v>71.3125</v>
      </c>
      <c r="K27" s="118">
        <f t="shared" si="9"/>
        <v>38.625</v>
      </c>
      <c r="L27" s="118">
        <f t="shared" si="9"/>
        <v>98.0625</v>
      </c>
      <c r="M27" s="118">
        <f t="shared" si="9"/>
        <v>128.25</v>
      </c>
      <c r="N27" s="118">
        <f t="shared" si="9"/>
        <v>131.1875</v>
      </c>
      <c r="O27" s="118">
        <f t="shared" si="9"/>
        <v>103.4375</v>
      </c>
      <c r="P27" s="118">
        <f t="shared" si="9"/>
        <v>101.375</v>
      </c>
      <c r="Q27" s="118">
        <f t="shared" si="9"/>
        <v>45.1875</v>
      </c>
      <c r="R27" s="118">
        <f t="shared" si="9"/>
        <v>29.25</v>
      </c>
      <c r="S27" s="118">
        <f>AVERAGE(R6:R21)</f>
        <v>29.25</v>
      </c>
      <c r="T27" s="118">
        <f>AVERAGE(S6:S21)</f>
        <v>67.4375</v>
      </c>
      <c r="U27" s="118">
        <f>AVERAGE(U6:U21)</f>
        <v>115.8125</v>
      </c>
      <c r="V27" s="118">
        <f>AVERAGE(V6:V21)</f>
        <v>78.75</v>
      </c>
      <c r="W27" s="118">
        <f>AVERAGE(W6:W21)</f>
        <v>18.9375</v>
      </c>
      <c r="X27" s="118">
        <f>AVERAGE(X6:X21)</f>
        <v>109.25</v>
      </c>
      <c r="Y27" s="118">
        <f>AVERAGE(Y6:Y21)</f>
        <v>62.125</v>
      </c>
      <c r="Z27" s="118">
        <f>AVERAGE(Z6:Z20)</f>
        <v>187.73333333333332</v>
      </c>
      <c r="AA27" s="118">
        <f t="shared" ref="AA27:AH27" si="10">AVERAGE(AA6:AA21)</f>
        <v>165.0625</v>
      </c>
      <c r="AB27" s="118">
        <f t="shared" si="10"/>
        <v>128.1875</v>
      </c>
      <c r="AC27" s="118">
        <f t="shared" si="10"/>
        <v>128.0625</v>
      </c>
      <c r="AD27" s="118">
        <f t="shared" si="10"/>
        <v>36.875</v>
      </c>
      <c r="AE27" s="118">
        <f t="shared" si="10"/>
        <v>53.0625</v>
      </c>
      <c r="AF27" s="118">
        <f t="shared" si="10"/>
        <v>107.3125</v>
      </c>
      <c r="AG27" s="118">
        <f t="shared" si="10"/>
        <v>131.1875</v>
      </c>
      <c r="AH27" s="329">
        <f t="shared" si="10"/>
        <v>0</v>
      </c>
      <c r="AI27" s="332"/>
    </row>
    <row r="28" spans="1:39" s="116" customFormat="1" ht="15">
      <c r="C28" s="124" t="s">
        <v>74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  <c r="AH28" s="330">
        <v>450</v>
      </c>
      <c r="AI28" s="126"/>
    </row>
  </sheetData>
  <mergeCells count="1">
    <mergeCell ref="D1:AG1"/>
  </mergeCells>
  <phoneticPr fontId="21" type="noConversion"/>
  <conditionalFormatting sqref="B8">
    <cfRule type="duplicateValues" dxfId="129" priority="6"/>
  </conditionalFormatting>
  <conditionalFormatting sqref="B10:B11 B7">
    <cfRule type="duplicateValues" dxfId="128" priority="7"/>
  </conditionalFormatting>
  <conditionalFormatting sqref="B13">
    <cfRule type="duplicateValues" dxfId="127" priority="4"/>
  </conditionalFormatting>
  <conditionalFormatting sqref="B14">
    <cfRule type="duplicateValues" dxfId="126" priority="5"/>
  </conditionalFormatting>
  <conditionalFormatting sqref="B16:B17 B12">
    <cfRule type="duplicateValues" dxfId="125" priority="10"/>
  </conditionalFormatting>
  <conditionalFormatting sqref="B18:B19 B22:B23">
    <cfRule type="duplicateValues" dxfId="124" priority="8"/>
  </conditionalFormatting>
  <conditionalFormatting sqref="B21 B15 B9 B3:B6">
    <cfRule type="duplicateValues" dxfId="123" priority="9"/>
  </conditionalFormatting>
  <conditionalFormatting sqref="D3:AH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M3:AM23">
    <cfRule type="cellIs" dxfId="122" priority="2" operator="lessThan">
      <formula>0</formula>
    </cfRule>
    <cfRule type="cellIs" dxfId="121" priority="3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F129-2A0F-4E03-BA0C-CAB109A35798}">
  <dimension ref="A1:AM28"/>
  <sheetViews>
    <sheetView zoomScale="89" zoomScaleNormal="89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9" sqref="AI19"/>
    </sheetView>
  </sheetViews>
  <sheetFormatPr defaultRowHeight="14.5"/>
  <cols>
    <col min="2" max="2" width="15.26953125" customWidth="1"/>
    <col min="3" max="3" width="35.08984375" bestFit="1" customWidth="1"/>
    <col min="4" max="31" width="11.7265625" bestFit="1" customWidth="1"/>
    <col min="32" max="34" width="9.54296875" bestFit="1" customWidth="1"/>
    <col min="35" max="35" width="10.453125" bestFit="1" customWidth="1"/>
    <col min="36" max="36" width="21.81640625" bestFit="1" customWidth="1"/>
    <col min="37" max="37" width="23.6328125" bestFit="1" customWidth="1"/>
    <col min="38" max="38" width="17.08984375" bestFit="1" customWidth="1"/>
    <col min="39" max="39" width="21.81640625" bestFit="1" customWidth="1"/>
  </cols>
  <sheetData>
    <row r="1" spans="1:39" ht="35.25" customHeight="1">
      <c r="C1" s="127" t="s">
        <v>81</v>
      </c>
      <c r="D1" s="365" t="s">
        <v>76</v>
      </c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157"/>
    </row>
    <row r="2" spans="1:39" ht="75.5" customHeight="1">
      <c r="B2" s="318" t="s">
        <v>4</v>
      </c>
      <c r="C2" s="62" t="s">
        <v>5</v>
      </c>
      <c r="D2" s="341" t="s">
        <v>280</v>
      </c>
      <c r="E2" s="341" t="s">
        <v>281</v>
      </c>
      <c r="F2" s="341" t="s">
        <v>282</v>
      </c>
      <c r="G2" s="341" t="s">
        <v>283</v>
      </c>
      <c r="H2" s="341" t="s">
        <v>284</v>
      </c>
      <c r="I2" s="341" t="s">
        <v>285</v>
      </c>
      <c r="J2" s="341" t="s">
        <v>286</v>
      </c>
      <c r="K2" s="341" t="s">
        <v>287</v>
      </c>
      <c r="L2" s="341" t="s">
        <v>288</v>
      </c>
      <c r="M2" s="341" t="s">
        <v>289</v>
      </c>
      <c r="N2" s="341" t="s">
        <v>290</v>
      </c>
      <c r="O2" s="341" t="s">
        <v>291</v>
      </c>
      <c r="P2" s="341" t="s">
        <v>292</v>
      </c>
      <c r="Q2" s="341" t="s">
        <v>293</v>
      </c>
      <c r="R2" s="341" t="s">
        <v>294</v>
      </c>
      <c r="S2" s="341" t="s">
        <v>295</v>
      </c>
      <c r="T2" s="341" t="s">
        <v>296</v>
      </c>
      <c r="U2" s="341" t="s">
        <v>297</v>
      </c>
      <c r="V2" s="341" t="s">
        <v>298</v>
      </c>
      <c r="W2" s="341" t="s">
        <v>299</v>
      </c>
      <c r="X2" s="341" t="s">
        <v>300</v>
      </c>
      <c r="Y2" s="341" t="s">
        <v>301</v>
      </c>
      <c r="Z2" s="341" t="s">
        <v>302</v>
      </c>
      <c r="AA2" s="341" t="s">
        <v>303</v>
      </c>
      <c r="AB2" s="341" t="s">
        <v>304</v>
      </c>
      <c r="AC2" s="341" t="s">
        <v>305</v>
      </c>
      <c r="AD2" s="341" t="s">
        <v>306</v>
      </c>
      <c r="AE2" s="341" t="s">
        <v>307</v>
      </c>
      <c r="AF2" s="341" t="s">
        <v>308</v>
      </c>
      <c r="AG2" s="341" t="s">
        <v>309</v>
      </c>
      <c r="AH2" s="341" t="s">
        <v>310</v>
      </c>
      <c r="AI2" s="320" t="s">
        <v>79</v>
      </c>
      <c r="AJ2" s="321" t="s">
        <v>18</v>
      </c>
      <c r="AK2" s="322" t="s">
        <v>77</v>
      </c>
      <c r="AL2" s="323" t="s">
        <v>20</v>
      </c>
      <c r="AM2" s="324" t="s">
        <v>78</v>
      </c>
    </row>
    <row r="3" spans="1:39" ht="20">
      <c r="A3" s="326">
        <v>1</v>
      </c>
      <c r="B3" s="109" t="s">
        <v>26</v>
      </c>
      <c r="C3" s="98"/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03">
        <v>0</v>
      </c>
      <c r="AI3" s="110">
        <f t="shared" ref="AI3:AI23" si="0">AVERAGE(D3:AG3)</f>
        <v>0</v>
      </c>
      <c r="AJ3" s="111">
        <v>10000</v>
      </c>
      <c r="AK3" s="111">
        <f t="shared" ref="AK3:AK23" si="1">SUM(D3:AH3)</f>
        <v>0</v>
      </c>
      <c r="AL3" s="112">
        <f t="shared" ref="AL3:AL10" si="2">AK3/AJ3</f>
        <v>0</v>
      </c>
      <c r="AM3" s="113">
        <f t="shared" ref="AM3:AM10" si="3">AJ3-AK3</f>
        <v>10000</v>
      </c>
    </row>
    <row r="4" spans="1:39" ht="20">
      <c r="A4" s="326">
        <v>2</v>
      </c>
      <c r="B4" s="109" t="s">
        <v>30</v>
      </c>
      <c r="C4" s="98"/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03">
        <v>0</v>
      </c>
      <c r="AI4" s="110">
        <f t="shared" si="0"/>
        <v>0</v>
      </c>
      <c r="AJ4" s="111">
        <v>10000</v>
      </c>
      <c r="AK4" s="111">
        <f t="shared" si="1"/>
        <v>0</v>
      </c>
      <c r="AL4" s="112">
        <f t="shared" si="2"/>
        <v>0</v>
      </c>
      <c r="AM4" s="113">
        <f t="shared" si="3"/>
        <v>10000</v>
      </c>
    </row>
    <row r="5" spans="1:39" ht="20">
      <c r="A5" s="326">
        <v>3</v>
      </c>
      <c r="B5" s="109" t="s">
        <v>32</v>
      </c>
      <c r="C5" s="98"/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03">
        <v>0</v>
      </c>
      <c r="AI5" s="110">
        <f t="shared" si="0"/>
        <v>0</v>
      </c>
      <c r="AJ5" s="111">
        <v>10000</v>
      </c>
      <c r="AK5" s="111">
        <f t="shared" si="1"/>
        <v>0</v>
      </c>
      <c r="AL5" s="112">
        <f t="shared" si="2"/>
        <v>0</v>
      </c>
      <c r="AM5" s="113">
        <f t="shared" si="3"/>
        <v>10000</v>
      </c>
    </row>
    <row r="6" spans="1:39" ht="20">
      <c r="A6" s="326">
        <v>4</v>
      </c>
      <c r="B6" s="99" t="s">
        <v>33</v>
      </c>
      <c r="C6" s="98" t="s">
        <v>34</v>
      </c>
      <c r="D6" s="103">
        <v>367</v>
      </c>
      <c r="E6" s="103">
        <v>1</v>
      </c>
      <c r="F6" s="103">
        <v>0</v>
      </c>
      <c r="G6" s="103">
        <v>0</v>
      </c>
      <c r="H6" s="103">
        <v>0</v>
      </c>
      <c r="I6" s="103">
        <v>0</v>
      </c>
      <c r="J6" s="103">
        <v>0</v>
      </c>
      <c r="K6" s="103">
        <v>1</v>
      </c>
      <c r="L6" s="103">
        <v>1</v>
      </c>
      <c r="M6" s="103">
        <v>0</v>
      </c>
      <c r="N6" s="103">
        <v>35</v>
      </c>
      <c r="O6" s="103">
        <v>264</v>
      </c>
      <c r="P6" s="103">
        <v>297</v>
      </c>
      <c r="Q6" s="103">
        <v>246</v>
      </c>
      <c r="R6" s="103">
        <v>124</v>
      </c>
      <c r="S6" s="103">
        <v>284</v>
      </c>
      <c r="T6" s="103">
        <v>0</v>
      </c>
      <c r="U6" s="103">
        <v>0</v>
      </c>
      <c r="V6" s="103">
        <v>312</v>
      </c>
      <c r="W6" s="103">
        <v>365</v>
      </c>
      <c r="X6" s="103">
        <v>53</v>
      </c>
      <c r="Y6" s="103">
        <v>192</v>
      </c>
      <c r="Z6" s="103">
        <v>237</v>
      </c>
      <c r="AA6" s="103">
        <v>240</v>
      </c>
      <c r="AB6" s="103">
        <v>0</v>
      </c>
      <c r="AC6" s="103">
        <v>178</v>
      </c>
      <c r="AD6" s="103">
        <v>49</v>
      </c>
      <c r="AE6" s="103">
        <v>91</v>
      </c>
      <c r="AF6" s="103">
        <v>0</v>
      </c>
      <c r="AG6" s="103">
        <v>0</v>
      </c>
      <c r="AH6" s="103">
        <v>0</v>
      </c>
      <c r="AI6" s="110">
        <f t="shared" si="0"/>
        <v>111.23333333333333</v>
      </c>
      <c r="AJ6" s="111">
        <v>10000</v>
      </c>
      <c r="AK6" s="111">
        <f t="shared" si="1"/>
        <v>3337</v>
      </c>
      <c r="AL6" s="112">
        <f t="shared" si="2"/>
        <v>0.3337</v>
      </c>
      <c r="AM6" s="113">
        <f t="shared" si="3"/>
        <v>6663</v>
      </c>
    </row>
    <row r="7" spans="1:39" ht="20.5" customHeight="1">
      <c r="A7" s="326">
        <v>5</v>
      </c>
      <c r="B7" s="99" t="s">
        <v>35</v>
      </c>
      <c r="C7" s="98" t="s">
        <v>36</v>
      </c>
      <c r="D7" s="103">
        <v>262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35</v>
      </c>
      <c r="O7" s="103">
        <v>277</v>
      </c>
      <c r="P7" s="103">
        <v>283</v>
      </c>
      <c r="Q7" s="103">
        <v>182</v>
      </c>
      <c r="R7" s="103">
        <v>394</v>
      </c>
      <c r="S7" s="103">
        <v>82</v>
      </c>
      <c r="T7" s="103">
        <v>1</v>
      </c>
      <c r="U7" s="103">
        <v>1</v>
      </c>
      <c r="V7" s="103">
        <v>164</v>
      </c>
      <c r="W7" s="103">
        <v>513</v>
      </c>
      <c r="X7" s="103">
        <v>55</v>
      </c>
      <c r="Y7" s="103">
        <v>199</v>
      </c>
      <c r="Z7" s="103">
        <v>205</v>
      </c>
      <c r="AA7" s="103">
        <v>146</v>
      </c>
      <c r="AB7" s="103">
        <v>0</v>
      </c>
      <c r="AC7" s="103">
        <v>178</v>
      </c>
      <c r="AD7" s="103">
        <v>49</v>
      </c>
      <c r="AE7" s="103">
        <v>91</v>
      </c>
      <c r="AF7" s="103">
        <v>50</v>
      </c>
      <c r="AG7" s="103">
        <v>671</v>
      </c>
      <c r="AH7" s="103">
        <v>35</v>
      </c>
      <c r="AI7" s="110">
        <f t="shared" si="0"/>
        <v>127.93333333333334</v>
      </c>
      <c r="AJ7" s="111">
        <v>10000</v>
      </c>
      <c r="AK7" s="111">
        <f t="shared" si="1"/>
        <v>3873</v>
      </c>
      <c r="AL7" s="112">
        <f t="shared" si="2"/>
        <v>0.38729999999999998</v>
      </c>
      <c r="AM7" s="113">
        <f t="shared" si="3"/>
        <v>6127</v>
      </c>
    </row>
    <row r="8" spans="1:39" ht="20">
      <c r="A8" s="326">
        <v>6</v>
      </c>
      <c r="B8" s="99" t="s">
        <v>37</v>
      </c>
      <c r="C8" s="98" t="s">
        <v>73</v>
      </c>
      <c r="D8" s="103">
        <v>0</v>
      </c>
      <c r="E8" s="103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1</v>
      </c>
      <c r="V8" s="103">
        <v>164</v>
      </c>
      <c r="W8" s="103">
        <v>380</v>
      </c>
      <c r="X8" s="103">
        <v>219</v>
      </c>
      <c r="Y8" s="103">
        <v>64</v>
      </c>
      <c r="Z8" s="103">
        <v>344</v>
      </c>
      <c r="AA8" s="103">
        <v>51</v>
      </c>
      <c r="AB8" s="103">
        <v>0</v>
      </c>
      <c r="AC8" s="103">
        <v>0</v>
      </c>
      <c r="AD8" s="103">
        <v>8</v>
      </c>
      <c r="AE8" s="103">
        <v>0</v>
      </c>
      <c r="AF8" s="103">
        <v>0</v>
      </c>
      <c r="AG8" s="103">
        <v>0</v>
      </c>
      <c r="AH8" s="103">
        <v>0</v>
      </c>
      <c r="AI8" s="110">
        <f t="shared" si="0"/>
        <v>41.033333333333331</v>
      </c>
      <c r="AJ8" s="111">
        <v>10000</v>
      </c>
      <c r="AK8" s="111">
        <f t="shared" si="1"/>
        <v>1231</v>
      </c>
      <c r="AL8" s="112">
        <f t="shared" si="2"/>
        <v>0.1231</v>
      </c>
      <c r="AM8" s="113">
        <f t="shared" si="3"/>
        <v>8769</v>
      </c>
    </row>
    <row r="9" spans="1:39" ht="20">
      <c r="A9" s="326">
        <v>7</v>
      </c>
      <c r="B9" s="99" t="s">
        <v>38</v>
      </c>
      <c r="C9" s="98" t="s">
        <v>39</v>
      </c>
      <c r="D9" s="103">
        <v>3</v>
      </c>
      <c r="E9" s="103">
        <v>0</v>
      </c>
      <c r="F9" s="103">
        <v>0</v>
      </c>
      <c r="G9" s="103">
        <v>0</v>
      </c>
      <c r="H9" s="103">
        <v>271</v>
      </c>
      <c r="I9" s="103">
        <v>160</v>
      </c>
      <c r="J9" s="103">
        <v>267</v>
      </c>
      <c r="K9" s="103">
        <v>53</v>
      </c>
      <c r="L9" s="103">
        <v>96</v>
      </c>
      <c r="M9" s="103">
        <v>0</v>
      </c>
      <c r="N9" s="103">
        <v>157</v>
      </c>
      <c r="O9" s="103">
        <v>188</v>
      </c>
      <c r="P9" s="103">
        <v>212</v>
      </c>
      <c r="Q9" s="103">
        <v>110</v>
      </c>
      <c r="R9" s="103">
        <v>0</v>
      </c>
      <c r="S9" s="103">
        <v>0</v>
      </c>
      <c r="T9" s="103">
        <v>0</v>
      </c>
      <c r="U9" s="103">
        <v>0</v>
      </c>
      <c r="V9" s="103">
        <v>305</v>
      </c>
      <c r="W9" s="103">
        <v>307</v>
      </c>
      <c r="X9" s="103">
        <v>120</v>
      </c>
      <c r="Y9" s="103">
        <v>59</v>
      </c>
      <c r="Z9" s="103">
        <v>316</v>
      </c>
      <c r="AA9" s="103">
        <v>63</v>
      </c>
      <c r="AB9" s="103">
        <v>231</v>
      </c>
      <c r="AC9" s="103">
        <v>109</v>
      </c>
      <c r="AD9" s="103">
        <v>0</v>
      </c>
      <c r="AE9" s="103">
        <v>190</v>
      </c>
      <c r="AF9" s="103">
        <v>113</v>
      </c>
      <c r="AG9" s="103">
        <v>0</v>
      </c>
      <c r="AH9" s="103">
        <v>113</v>
      </c>
      <c r="AI9" s="110">
        <f t="shared" si="0"/>
        <v>111</v>
      </c>
      <c r="AJ9" s="111">
        <v>10000</v>
      </c>
      <c r="AK9" s="111">
        <f t="shared" si="1"/>
        <v>3443</v>
      </c>
      <c r="AL9" s="112">
        <f t="shared" si="2"/>
        <v>0.34429999999999999</v>
      </c>
      <c r="AM9" s="113">
        <f t="shared" si="3"/>
        <v>6557</v>
      </c>
    </row>
    <row r="10" spans="1:39" ht="20">
      <c r="A10" s="326">
        <v>8</v>
      </c>
      <c r="B10" s="200" t="s">
        <v>40</v>
      </c>
      <c r="C10" s="98" t="s">
        <v>160</v>
      </c>
      <c r="D10" s="103">
        <v>0</v>
      </c>
      <c r="E10" s="103">
        <v>0</v>
      </c>
      <c r="F10" s="103">
        <v>0</v>
      </c>
      <c r="G10" s="103">
        <v>0</v>
      </c>
      <c r="H10" s="103">
        <v>10</v>
      </c>
      <c r="I10" s="103">
        <v>238</v>
      </c>
      <c r="J10" s="103">
        <v>447</v>
      </c>
      <c r="K10" s="103">
        <v>53</v>
      </c>
      <c r="L10" s="103">
        <v>95</v>
      </c>
      <c r="M10" s="103">
        <v>0</v>
      </c>
      <c r="N10" s="103">
        <v>157</v>
      </c>
      <c r="O10" s="103">
        <v>88</v>
      </c>
      <c r="P10" s="103">
        <v>286</v>
      </c>
      <c r="Q10" s="103">
        <v>106</v>
      </c>
      <c r="R10" s="103">
        <v>0</v>
      </c>
      <c r="S10" s="103">
        <v>0</v>
      </c>
      <c r="T10" s="103">
        <v>0</v>
      </c>
      <c r="U10" s="103">
        <v>0</v>
      </c>
      <c r="V10" s="103">
        <v>321</v>
      </c>
      <c r="W10" s="103">
        <v>359</v>
      </c>
      <c r="X10" s="103">
        <v>53</v>
      </c>
      <c r="Y10" s="103">
        <v>0</v>
      </c>
      <c r="Z10" s="103">
        <v>194</v>
      </c>
      <c r="AA10" s="103">
        <v>230</v>
      </c>
      <c r="AB10" s="103">
        <v>233</v>
      </c>
      <c r="AC10" s="103">
        <v>92</v>
      </c>
      <c r="AD10" s="103">
        <v>68</v>
      </c>
      <c r="AE10" s="103">
        <v>248</v>
      </c>
      <c r="AF10" s="103">
        <v>0</v>
      </c>
      <c r="AG10" s="103">
        <v>0</v>
      </c>
      <c r="AH10" s="103">
        <v>91</v>
      </c>
      <c r="AI10" s="110">
        <f t="shared" si="0"/>
        <v>109.26666666666667</v>
      </c>
      <c r="AJ10" s="111">
        <v>10000</v>
      </c>
      <c r="AK10" s="111">
        <f t="shared" si="1"/>
        <v>3369</v>
      </c>
      <c r="AL10" s="112">
        <f t="shared" si="2"/>
        <v>0.33689999999999998</v>
      </c>
      <c r="AM10" s="201">
        <f t="shared" si="3"/>
        <v>6631</v>
      </c>
    </row>
    <row r="11" spans="1:39" ht="20">
      <c r="A11" s="326">
        <v>9</v>
      </c>
      <c r="B11" s="200" t="s">
        <v>41</v>
      </c>
      <c r="C11" s="98" t="s">
        <v>42</v>
      </c>
      <c r="D11" s="103">
        <v>5</v>
      </c>
      <c r="E11" s="103">
        <v>5</v>
      </c>
      <c r="F11" s="103">
        <v>15</v>
      </c>
      <c r="G11" s="103">
        <v>4</v>
      </c>
      <c r="H11" s="103">
        <v>247</v>
      </c>
      <c r="I11" s="103">
        <v>86</v>
      </c>
      <c r="J11" s="103">
        <v>3</v>
      </c>
      <c r="K11" s="103">
        <v>3</v>
      </c>
      <c r="L11" s="103">
        <v>91</v>
      </c>
      <c r="M11" s="103">
        <v>265</v>
      </c>
      <c r="N11" s="103">
        <v>202</v>
      </c>
      <c r="O11" s="103">
        <v>222</v>
      </c>
      <c r="P11" s="103">
        <v>4</v>
      </c>
      <c r="Q11" s="103">
        <v>5</v>
      </c>
      <c r="R11" s="103">
        <v>3</v>
      </c>
      <c r="S11" s="103">
        <v>3</v>
      </c>
      <c r="T11" s="103">
        <v>4</v>
      </c>
      <c r="U11" s="103">
        <v>0</v>
      </c>
      <c r="V11" s="103">
        <v>300</v>
      </c>
      <c r="W11" s="103">
        <v>111</v>
      </c>
      <c r="X11" s="103">
        <v>267</v>
      </c>
      <c r="Y11" s="103">
        <v>53</v>
      </c>
      <c r="Z11" s="103">
        <v>76</v>
      </c>
      <c r="AA11" s="103">
        <v>347</v>
      </c>
      <c r="AB11" s="103">
        <v>5</v>
      </c>
      <c r="AC11" s="103">
        <v>82</v>
      </c>
      <c r="AD11" s="103">
        <v>167</v>
      </c>
      <c r="AE11" s="103">
        <v>2</v>
      </c>
      <c r="AF11" s="103">
        <v>168</v>
      </c>
      <c r="AG11" s="103">
        <v>2</v>
      </c>
      <c r="AH11" s="103">
        <v>1</v>
      </c>
      <c r="AI11" s="110">
        <f t="shared" si="0"/>
        <v>91.566666666666663</v>
      </c>
      <c r="AJ11" s="111">
        <v>10000</v>
      </c>
      <c r="AK11" s="111">
        <f t="shared" si="1"/>
        <v>2748</v>
      </c>
      <c r="AL11" s="112">
        <v>0.43</v>
      </c>
      <c r="AM11" s="201">
        <v>3334</v>
      </c>
    </row>
    <row r="12" spans="1:39" ht="20">
      <c r="A12" s="326">
        <v>10</v>
      </c>
      <c r="B12" s="99" t="s">
        <v>43</v>
      </c>
      <c r="C12" s="98" t="s">
        <v>164</v>
      </c>
      <c r="D12" s="103">
        <v>3</v>
      </c>
      <c r="E12" s="103">
        <v>1</v>
      </c>
      <c r="F12" s="103">
        <v>2</v>
      </c>
      <c r="G12" s="103">
        <v>1</v>
      </c>
      <c r="H12" s="103">
        <v>124</v>
      </c>
      <c r="I12" s="103">
        <v>438</v>
      </c>
      <c r="J12" s="103">
        <v>183</v>
      </c>
      <c r="K12" s="103">
        <v>2</v>
      </c>
      <c r="L12" s="103">
        <v>95</v>
      </c>
      <c r="M12" s="103">
        <v>0</v>
      </c>
      <c r="N12" s="103">
        <v>156</v>
      </c>
      <c r="O12" s="103">
        <v>79</v>
      </c>
      <c r="P12" s="103">
        <v>334</v>
      </c>
      <c r="Q12" s="103">
        <v>92</v>
      </c>
      <c r="R12" s="103">
        <v>0</v>
      </c>
      <c r="S12" s="103">
        <v>0</v>
      </c>
      <c r="T12" s="103">
        <v>0</v>
      </c>
      <c r="U12" s="103">
        <v>340</v>
      </c>
      <c r="V12" s="103">
        <v>4</v>
      </c>
      <c r="W12" s="103">
        <v>288</v>
      </c>
      <c r="X12" s="103">
        <v>60</v>
      </c>
      <c r="Y12" s="103">
        <v>1</v>
      </c>
      <c r="Z12" s="103">
        <v>173</v>
      </c>
      <c r="AA12" s="103">
        <v>244</v>
      </c>
      <c r="AB12" s="103">
        <v>0</v>
      </c>
      <c r="AC12" s="103">
        <v>0</v>
      </c>
      <c r="AD12" s="103">
        <v>0</v>
      </c>
      <c r="AE12" s="103">
        <v>204</v>
      </c>
      <c r="AF12" s="103">
        <v>251</v>
      </c>
      <c r="AG12" s="103">
        <v>184</v>
      </c>
      <c r="AH12" s="103">
        <v>268</v>
      </c>
      <c r="AI12" s="110">
        <f t="shared" si="0"/>
        <v>108.63333333333334</v>
      </c>
      <c r="AJ12" s="111">
        <v>10000</v>
      </c>
      <c r="AK12" s="111">
        <f t="shared" si="1"/>
        <v>3527</v>
      </c>
      <c r="AL12" s="112">
        <f t="shared" ref="AL12:AL24" si="4">AK12/AJ12</f>
        <v>0.35270000000000001</v>
      </c>
      <c r="AM12" s="113">
        <f t="shared" ref="AM12:AM23" si="5">AJ12-AK12</f>
        <v>6473</v>
      </c>
    </row>
    <row r="13" spans="1:39" ht="20">
      <c r="A13" s="326">
        <v>11</v>
      </c>
      <c r="B13" s="99" t="s">
        <v>45</v>
      </c>
      <c r="C13" s="98" t="s">
        <v>46</v>
      </c>
      <c r="D13" s="103">
        <v>1</v>
      </c>
      <c r="E13" s="103">
        <v>1</v>
      </c>
      <c r="F13" s="103">
        <v>1</v>
      </c>
      <c r="G13" s="103">
        <v>1</v>
      </c>
      <c r="H13" s="103">
        <v>242</v>
      </c>
      <c r="I13" s="103">
        <v>359</v>
      </c>
      <c r="J13" s="103">
        <v>157</v>
      </c>
      <c r="K13" s="103">
        <v>4</v>
      </c>
      <c r="L13" s="103">
        <v>96</v>
      </c>
      <c r="M13" s="103">
        <v>0</v>
      </c>
      <c r="N13" s="103">
        <v>2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361</v>
      </c>
      <c r="V13" s="103">
        <v>51</v>
      </c>
      <c r="W13" s="103">
        <v>206</v>
      </c>
      <c r="X13" s="103">
        <v>117</v>
      </c>
      <c r="Y13" s="103">
        <v>48</v>
      </c>
      <c r="Z13" s="103">
        <v>63</v>
      </c>
      <c r="AA13" s="103">
        <v>217</v>
      </c>
      <c r="AB13" s="103">
        <v>214</v>
      </c>
      <c r="AC13" s="103">
        <v>95</v>
      </c>
      <c r="AD13" s="103">
        <v>0</v>
      </c>
      <c r="AE13" s="103">
        <v>307</v>
      </c>
      <c r="AF13" s="103">
        <v>1</v>
      </c>
      <c r="AG13" s="103">
        <v>0</v>
      </c>
      <c r="AH13" s="103">
        <v>0</v>
      </c>
      <c r="AI13" s="110">
        <f t="shared" si="0"/>
        <v>84.8</v>
      </c>
      <c r="AJ13" s="111">
        <v>10000</v>
      </c>
      <c r="AK13" s="111">
        <f t="shared" si="1"/>
        <v>2544</v>
      </c>
      <c r="AL13" s="112">
        <f t="shared" si="4"/>
        <v>0.25440000000000002</v>
      </c>
      <c r="AM13" s="113">
        <f t="shared" si="5"/>
        <v>7456</v>
      </c>
    </row>
    <row r="14" spans="1:39" ht="20">
      <c r="A14" s="326">
        <v>12</v>
      </c>
      <c r="B14" s="99" t="s">
        <v>47</v>
      </c>
      <c r="C14" s="98" t="s">
        <v>48</v>
      </c>
      <c r="D14" s="103">
        <v>2</v>
      </c>
      <c r="E14" s="103">
        <v>0</v>
      </c>
      <c r="F14" s="103">
        <v>0</v>
      </c>
      <c r="G14" s="103">
        <v>0</v>
      </c>
      <c r="H14" s="103">
        <v>307</v>
      </c>
      <c r="I14" s="103">
        <v>389</v>
      </c>
      <c r="J14" s="103">
        <v>55</v>
      </c>
      <c r="K14" s="103">
        <v>1</v>
      </c>
      <c r="L14" s="103">
        <v>96</v>
      </c>
      <c r="M14" s="103">
        <v>0</v>
      </c>
      <c r="N14" s="103">
        <v>157</v>
      </c>
      <c r="O14" s="103">
        <v>1</v>
      </c>
      <c r="P14" s="103">
        <v>78</v>
      </c>
      <c r="Q14" s="103">
        <v>340</v>
      </c>
      <c r="R14" s="103">
        <v>91</v>
      </c>
      <c r="S14" s="103">
        <v>0</v>
      </c>
      <c r="T14" s="103">
        <v>0</v>
      </c>
      <c r="U14" s="103">
        <v>209</v>
      </c>
      <c r="V14" s="103">
        <v>138</v>
      </c>
      <c r="W14" s="103">
        <v>132</v>
      </c>
      <c r="X14" s="103">
        <v>57</v>
      </c>
      <c r="Y14" s="103">
        <v>0</v>
      </c>
      <c r="Z14" s="103">
        <v>292</v>
      </c>
      <c r="AA14" s="103">
        <v>204</v>
      </c>
      <c r="AB14" s="103">
        <v>94</v>
      </c>
      <c r="AC14" s="103">
        <v>204</v>
      </c>
      <c r="AD14" s="103">
        <v>319</v>
      </c>
      <c r="AE14" s="103">
        <v>372</v>
      </c>
      <c r="AF14" s="103">
        <v>148</v>
      </c>
      <c r="AG14" s="103">
        <v>318</v>
      </c>
      <c r="AH14" s="103">
        <v>2</v>
      </c>
      <c r="AI14" s="110">
        <f t="shared" si="0"/>
        <v>133.46666666666667</v>
      </c>
      <c r="AJ14" s="111">
        <v>10000</v>
      </c>
      <c r="AK14" s="111">
        <f t="shared" si="1"/>
        <v>4006</v>
      </c>
      <c r="AL14" s="112">
        <f t="shared" si="4"/>
        <v>0.40060000000000001</v>
      </c>
      <c r="AM14" s="113">
        <f t="shared" si="5"/>
        <v>5994</v>
      </c>
    </row>
    <row r="15" spans="1:39" ht="20">
      <c r="A15" s="326">
        <v>13</v>
      </c>
      <c r="B15" s="99" t="s">
        <v>49</v>
      </c>
      <c r="C15" s="98" t="s">
        <v>50</v>
      </c>
      <c r="D15" s="103">
        <v>0</v>
      </c>
      <c r="E15" s="103">
        <v>261</v>
      </c>
      <c r="F15" s="103">
        <v>68</v>
      </c>
      <c r="G15" s="103">
        <v>68</v>
      </c>
      <c r="H15" s="103">
        <v>141</v>
      </c>
      <c r="I15" s="103">
        <v>142</v>
      </c>
      <c r="J15" s="103">
        <v>56</v>
      </c>
      <c r="K15" s="103">
        <v>193</v>
      </c>
      <c r="L15" s="103">
        <v>139</v>
      </c>
      <c r="M15" s="103">
        <v>207</v>
      </c>
      <c r="N15" s="103">
        <v>209</v>
      </c>
      <c r="O15" s="103">
        <v>11</v>
      </c>
      <c r="P15" s="103">
        <v>3</v>
      </c>
      <c r="Q15" s="103">
        <v>1</v>
      </c>
      <c r="R15" s="103">
        <v>0</v>
      </c>
      <c r="S15" s="103">
        <v>0</v>
      </c>
      <c r="T15" s="103">
        <v>205</v>
      </c>
      <c r="U15" s="103">
        <v>1</v>
      </c>
      <c r="V15" s="103">
        <v>1</v>
      </c>
      <c r="W15" s="103">
        <v>137</v>
      </c>
      <c r="X15" s="103">
        <v>465</v>
      </c>
      <c r="Y15" s="103">
        <v>127</v>
      </c>
      <c r="Z15" s="103">
        <v>95</v>
      </c>
      <c r="AA15" s="103">
        <v>158</v>
      </c>
      <c r="AB15" s="103">
        <v>252</v>
      </c>
      <c r="AC15" s="103">
        <v>93</v>
      </c>
      <c r="AD15" s="103">
        <v>0</v>
      </c>
      <c r="AE15" s="103">
        <v>205</v>
      </c>
      <c r="AF15" s="103">
        <v>130</v>
      </c>
      <c r="AG15" s="103">
        <v>0</v>
      </c>
      <c r="AH15" s="103">
        <v>34</v>
      </c>
      <c r="AI15" s="110">
        <f t="shared" si="0"/>
        <v>112.26666666666667</v>
      </c>
      <c r="AJ15" s="111">
        <v>10000</v>
      </c>
      <c r="AK15" s="111">
        <f t="shared" si="1"/>
        <v>3402</v>
      </c>
      <c r="AL15" s="112">
        <f t="shared" si="4"/>
        <v>0.3402</v>
      </c>
      <c r="AM15" s="113">
        <f t="shared" si="5"/>
        <v>6598</v>
      </c>
    </row>
    <row r="16" spans="1:39" ht="20">
      <c r="A16" s="326">
        <v>14</v>
      </c>
      <c r="B16" s="99" t="s">
        <v>51</v>
      </c>
      <c r="C16" s="98" t="s">
        <v>165</v>
      </c>
      <c r="D16" s="103">
        <v>0</v>
      </c>
      <c r="E16" s="103">
        <v>0</v>
      </c>
      <c r="F16" s="103">
        <v>0</v>
      </c>
      <c r="G16" s="103">
        <v>0</v>
      </c>
      <c r="H16" s="103">
        <v>122</v>
      </c>
      <c r="I16" s="103">
        <v>463</v>
      </c>
      <c r="J16" s="103">
        <v>164</v>
      </c>
      <c r="K16" s="103">
        <v>2</v>
      </c>
      <c r="L16" s="103">
        <v>95</v>
      </c>
      <c r="M16" s="103">
        <v>0</v>
      </c>
      <c r="N16" s="103">
        <v>157</v>
      </c>
      <c r="O16" s="103">
        <v>238</v>
      </c>
      <c r="P16" s="103">
        <v>249</v>
      </c>
      <c r="Q16" s="103">
        <v>13</v>
      </c>
      <c r="R16" s="103">
        <v>4</v>
      </c>
      <c r="S16" s="103">
        <v>0</v>
      </c>
      <c r="T16" s="103">
        <v>0</v>
      </c>
      <c r="U16" s="103">
        <v>3</v>
      </c>
      <c r="V16" s="103">
        <v>93</v>
      </c>
      <c r="W16" s="103">
        <v>98</v>
      </c>
      <c r="X16" s="103">
        <v>138</v>
      </c>
      <c r="Y16" s="103">
        <v>320</v>
      </c>
      <c r="Z16" s="103">
        <v>105</v>
      </c>
      <c r="AA16" s="103">
        <v>1</v>
      </c>
      <c r="AB16" s="103">
        <v>189</v>
      </c>
      <c r="AC16" s="103">
        <v>166</v>
      </c>
      <c r="AD16" s="103">
        <v>453</v>
      </c>
      <c r="AE16" s="103">
        <v>276</v>
      </c>
      <c r="AF16" s="103">
        <v>287</v>
      </c>
      <c r="AG16" s="103">
        <v>166</v>
      </c>
      <c r="AH16" s="103">
        <v>9</v>
      </c>
      <c r="AI16" s="110">
        <f t="shared" si="0"/>
        <v>126.73333333333333</v>
      </c>
      <c r="AJ16" s="111">
        <v>10000</v>
      </c>
      <c r="AK16" s="111">
        <f t="shared" si="1"/>
        <v>3811</v>
      </c>
      <c r="AL16" s="112">
        <f t="shared" si="4"/>
        <v>0.38109999999999999</v>
      </c>
      <c r="AM16" s="113">
        <f t="shared" si="5"/>
        <v>6189</v>
      </c>
    </row>
    <row r="17" spans="1:39" ht="20">
      <c r="A17" s="326">
        <v>15</v>
      </c>
      <c r="B17" s="109" t="s">
        <v>53</v>
      </c>
      <c r="C17" s="98" t="s">
        <v>241</v>
      </c>
      <c r="D17" s="103">
        <v>0</v>
      </c>
      <c r="E17" s="103">
        <v>0</v>
      </c>
      <c r="F17" s="103">
        <v>0</v>
      </c>
      <c r="G17" s="103">
        <v>0</v>
      </c>
      <c r="H17" s="103">
        <v>11</v>
      </c>
      <c r="I17" s="103">
        <v>214</v>
      </c>
      <c r="J17" s="103">
        <v>406</v>
      </c>
      <c r="K17" s="103">
        <v>119</v>
      </c>
      <c r="L17" s="103">
        <v>96</v>
      </c>
      <c r="M17" s="103">
        <v>1</v>
      </c>
      <c r="N17" s="103">
        <v>158</v>
      </c>
      <c r="O17" s="103">
        <v>89</v>
      </c>
      <c r="P17" s="103">
        <v>3</v>
      </c>
      <c r="Q17" s="103">
        <v>0</v>
      </c>
      <c r="R17" s="103">
        <v>0</v>
      </c>
      <c r="S17" s="103">
        <v>14</v>
      </c>
      <c r="T17" s="103">
        <v>0</v>
      </c>
      <c r="U17" s="103">
        <v>1</v>
      </c>
      <c r="V17" s="103">
        <v>321</v>
      </c>
      <c r="W17" s="103">
        <v>0</v>
      </c>
      <c r="X17" s="103">
        <v>90</v>
      </c>
      <c r="Y17" s="103">
        <v>266</v>
      </c>
      <c r="Z17" s="103">
        <v>1</v>
      </c>
      <c r="AA17" s="103">
        <v>53</v>
      </c>
      <c r="AB17" s="103">
        <v>0</v>
      </c>
      <c r="AC17" s="103">
        <v>280</v>
      </c>
      <c r="AD17" s="103">
        <v>196</v>
      </c>
      <c r="AE17" s="103">
        <v>9</v>
      </c>
      <c r="AF17" s="103">
        <v>1</v>
      </c>
      <c r="AG17" s="103">
        <v>0</v>
      </c>
      <c r="AH17" s="103">
        <v>1</v>
      </c>
      <c r="AI17" s="110">
        <f t="shared" si="0"/>
        <v>77.63333333333334</v>
      </c>
      <c r="AJ17" s="111">
        <v>10000</v>
      </c>
      <c r="AK17" s="111">
        <f t="shared" si="1"/>
        <v>2330</v>
      </c>
      <c r="AL17" s="112">
        <f t="shared" si="4"/>
        <v>0.23300000000000001</v>
      </c>
      <c r="AM17" s="113">
        <f t="shared" si="5"/>
        <v>7670</v>
      </c>
    </row>
    <row r="18" spans="1:39" ht="20">
      <c r="A18" s="326">
        <v>16</v>
      </c>
      <c r="B18" s="99" t="s">
        <v>55</v>
      </c>
      <c r="C18" s="98" t="s">
        <v>68</v>
      </c>
      <c r="D18" s="103">
        <v>210</v>
      </c>
      <c r="E18" s="103">
        <v>0</v>
      </c>
      <c r="F18" s="103">
        <v>0</v>
      </c>
      <c r="G18" s="103">
        <v>0</v>
      </c>
      <c r="H18" s="103">
        <v>0</v>
      </c>
      <c r="I18" s="103">
        <v>57</v>
      </c>
      <c r="J18" s="103">
        <v>0</v>
      </c>
      <c r="K18" s="103">
        <v>0</v>
      </c>
      <c r="L18" s="103">
        <v>24</v>
      </c>
      <c r="M18" s="103">
        <v>0</v>
      </c>
      <c r="N18" s="103">
        <v>0</v>
      </c>
      <c r="O18" s="103">
        <v>10</v>
      </c>
      <c r="P18" s="103">
        <v>2</v>
      </c>
      <c r="Q18" s="103">
        <v>200</v>
      </c>
      <c r="R18" s="103">
        <v>208</v>
      </c>
      <c r="S18" s="103">
        <v>270</v>
      </c>
      <c r="T18" s="103">
        <v>54</v>
      </c>
      <c r="U18" s="103">
        <v>52</v>
      </c>
      <c r="V18" s="103">
        <v>273</v>
      </c>
      <c r="W18" s="103">
        <v>18</v>
      </c>
      <c r="X18" s="103">
        <v>2</v>
      </c>
      <c r="Y18" s="103">
        <v>276</v>
      </c>
      <c r="Z18" s="103">
        <v>107</v>
      </c>
      <c r="AA18" s="103">
        <v>2</v>
      </c>
      <c r="AB18" s="103">
        <v>1</v>
      </c>
      <c r="AC18" s="103">
        <v>204</v>
      </c>
      <c r="AD18" s="103">
        <v>110</v>
      </c>
      <c r="AE18" s="103">
        <v>360</v>
      </c>
      <c r="AF18" s="103">
        <v>223</v>
      </c>
      <c r="AG18" s="103">
        <v>374</v>
      </c>
      <c r="AH18" s="103">
        <v>97</v>
      </c>
      <c r="AI18" s="110">
        <f t="shared" si="0"/>
        <v>101.23333333333333</v>
      </c>
      <c r="AJ18" s="111">
        <v>10000</v>
      </c>
      <c r="AK18" s="111">
        <f t="shared" si="1"/>
        <v>3134</v>
      </c>
      <c r="AL18" s="112">
        <f t="shared" si="4"/>
        <v>0.31340000000000001</v>
      </c>
      <c r="AM18" s="113">
        <f t="shared" si="5"/>
        <v>6866</v>
      </c>
    </row>
    <row r="19" spans="1:39" ht="20">
      <c r="A19" s="326">
        <v>18</v>
      </c>
      <c r="B19" s="115" t="s">
        <v>58</v>
      </c>
      <c r="C19" s="98" t="s">
        <v>59</v>
      </c>
      <c r="D19" s="103">
        <v>1</v>
      </c>
      <c r="E19" s="103">
        <v>60</v>
      </c>
      <c r="F19" s="103">
        <v>266</v>
      </c>
      <c r="G19" s="103">
        <v>84</v>
      </c>
      <c r="H19" s="103">
        <v>191</v>
      </c>
      <c r="I19" s="103">
        <v>80</v>
      </c>
      <c r="J19" s="103">
        <v>55</v>
      </c>
      <c r="K19" s="103">
        <v>201</v>
      </c>
      <c r="L19" s="103">
        <v>130</v>
      </c>
      <c r="M19" s="103">
        <v>326</v>
      </c>
      <c r="N19" s="103">
        <v>129</v>
      </c>
      <c r="O19" s="103">
        <v>11</v>
      </c>
      <c r="P19" s="103">
        <v>2</v>
      </c>
      <c r="Q19" s="103">
        <v>198</v>
      </c>
      <c r="R19" s="103">
        <v>208</v>
      </c>
      <c r="S19" s="103">
        <v>268</v>
      </c>
      <c r="T19" s="103">
        <v>53</v>
      </c>
      <c r="U19" s="103">
        <v>2</v>
      </c>
      <c r="V19" s="103">
        <v>1</v>
      </c>
      <c r="W19" s="103">
        <v>199</v>
      </c>
      <c r="X19" s="103">
        <v>62</v>
      </c>
      <c r="Y19" s="103">
        <v>309</v>
      </c>
      <c r="Z19" s="103">
        <v>104</v>
      </c>
      <c r="AA19" s="103">
        <v>1</v>
      </c>
      <c r="AB19" s="103">
        <v>0</v>
      </c>
      <c r="AC19" s="103">
        <v>220</v>
      </c>
      <c r="AD19" s="103">
        <v>168</v>
      </c>
      <c r="AE19" s="103">
        <v>267</v>
      </c>
      <c r="AF19" s="103">
        <v>200</v>
      </c>
      <c r="AG19" s="103">
        <v>402</v>
      </c>
      <c r="AH19" s="103">
        <v>102</v>
      </c>
      <c r="AI19" s="110">
        <f t="shared" si="0"/>
        <v>139.93333333333334</v>
      </c>
      <c r="AJ19" s="111">
        <v>10000</v>
      </c>
      <c r="AK19" s="111">
        <f t="shared" si="1"/>
        <v>4300</v>
      </c>
      <c r="AL19" s="112">
        <f t="shared" si="4"/>
        <v>0.43</v>
      </c>
      <c r="AM19" s="113">
        <f t="shared" si="5"/>
        <v>5700</v>
      </c>
    </row>
    <row r="20" spans="1:39" ht="20">
      <c r="A20" s="326">
        <v>19</v>
      </c>
      <c r="B20" s="99" t="s">
        <v>60</v>
      </c>
      <c r="C20" s="98" t="s">
        <v>61</v>
      </c>
      <c r="D20" s="103">
        <v>1</v>
      </c>
      <c r="E20" s="103">
        <v>160</v>
      </c>
      <c r="F20" s="103">
        <v>248</v>
      </c>
      <c r="G20" s="103">
        <v>43</v>
      </c>
      <c r="H20" s="103">
        <v>104</v>
      </c>
      <c r="I20" s="103">
        <v>179</v>
      </c>
      <c r="J20" s="103">
        <v>57</v>
      </c>
      <c r="K20" s="103">
        <v>195</v>
      </c>
      <c r="L20" s="103">
        <v>81</v>
      </c>
      <c r="M20" s="103">
        <v>303</v>
      </c>
      <c r="N20" s="103">
        <v>113</v>
      </c>
      <c r="O20" s="103">
        <v>11</v>
      </c>
      <c r="P20" s="103">
        <v>3</v>
      </c>
      <c r="Q20" s="103">
        <v>1</v>
      </c>
      <c r="R20" s="103">
        <v>1</v>
      </c>
      <c r="S20" s="103">
        <v>1</v>
      </c>
      <c r="T20" s="103">
        <v>1</v>
      </c>
      <c r="U20" s="103">
        <v>184</v>
      </c>
      <c r="V20" s="103">
        <v>171</v>
      </c>
      <c r="W20" s="103">
        <v>0</v>
      </c>
      <c r="X20" s="103">
        <v>35</v>
      </c>
      <c r="Y20" s="103">
        <v>0</v>
      </c>
      <c r="Z20" s="103">
        <v>58</v>
      </c>
      <c r="AA20" s="103">
        <v>0</v>
      </c>
      <c r="AB20" s="103">
        <v>190</v>
      </c>
      <c r="AC20" s="103">
        <v>0</v>
      </c>
      <c r="AD20" s="103">
        <v>113</v>
      </c>
      <c r="AE20" s="103">
        <v>109</v>
      </c>
      <c r="AF20" s="103">
        <v>0</v>
      </c>
      <c r="AG20" s="103">
        <v>0</v>
      </c>
      <c r="AH20" s="103">
        <v>0</v>
      </c>
      <c r="AI20" s="110">
        <f t="shared" si="0"/>
        <v>78.733333333333334</v>
      </c>
      <c r="AJ20" s="111">
        <v>10000</v>
      </c>
      <c r="AK20" s="111">
        <f t="shared" si="1"/>
        <v>2362</v>
      </c>
      <c r="AL20" s="112">
        <f t="shared" si="4"/>
        <v>0.23619999999999999</v>
      </c>
      <c r="AM20" s="113">
        <f t="shared" si="5"/>
        <v>7638</v>
      </c>
    </row>
    <row r="21" spans="1:39" ht="20">
      <c r="A21" s="326">
        <v>20</v>
      </c>
      <c r="B21" s="99" t="s">
        <v>62</v>
      </c>
      <c r="C21" s="98" t="s">
        <v>63</v>
      </c>
      <c r="D21" s="103">
        <v>0</v>
      </c>
      <c r="E21" s="103">
        <v>0</v>
      </c>
      <c r="F21" s="103">
        <v>0</v>
      </c>
      <c r="G21" s="103">
        <v>4</v>
      </c>
      <c r="H21" s="103">
        <v>0</v>
      </c>
      <c r="I21" s="103">
        <v>56</v>
      </c>
      <c r="J21" s="103">
        <v>0</v>
      </c>
      <c r="K21" s="103">
        <v>3</v>
      </c>
      <c r="L21" s="103">
        <v>233</v>
      </c>
      <c r="M21" s="103">
        <v>22</v>
      </c>
      <c r="N21" s="103">
        <v>1</v>
      </c>
      <c r="O21" s="103">
        <v>2</v>
      </c>
      <c r="P21" s="103">
        <v>295</v>
      </c>
      <c r="Q21" s="103">
        <v>379</v>
      </c>
      <c r="R21" s="103">
        <v>120</v>
      </c>
      <c r="S21" s="103">
        <v>0</v>
      </c>
      <c r="T21" s="103">
        <v>1</v>
      </c>
      <c r="U21" s="103">
        <v>279</v>
      </c>
      <c r="V21" s="103">
        <v>74</v>
      </c>
      <c r="W21" s="103">
        <v>0</v>
      </c>
      <c r="X21" s="103">
        <v>36</v>
      </c>
      <c r="Y21" s="103">
        <v>0</v>
      </c>
      <c r="Z21" s="103">
        <v>58</v>
      </c>
      <c r="AA21" s="103">
        <v>0</v>
      </c>
      <c r="AB21" s="103">
        <v>92</v>
      </c>
      <c r="AC21" s="103">
        <v>274</v>
      </c>
      <c r="AD21" s="103">
        <v>130</v>
      </c>
      <c r="AE21" s="103">
        <v>267</v>
      </c>
      <c r="AF21" s="103">
        <v>323</v>
      </c>
      <c r="AG21" s="103">
        <v>340</v>
      </c>
      <c r="AH21" s="103">
        <v>79</v>
      </c>
      <c r="AI21" s="110">
        <f t="shared" si="0"/>
        <v>99.63333333333334</v>
      </c>
      <c r="AJ21" s="111">
        <v>10000</v>
      </c>
      <c r="AK21" s="111">
        <f t="shared" si="1"/>
        <v>3068</v>
      </c>
      <c r="AL21" s="112">
        <f t="shared" si="4"/>
        <v>0.30680000000000002</v>
      </c>
      <c r="AM21" s="113">
        <f t="shared" si="5"/>
        <v>6932</v>
      </c>
    </row>
    <row r="22" spans="1:39" ht="20">
      <c r="A22" s="326">
        <v>21</v>
      </c>
      <c r="B22" s="333" t="s">
        <v>64</v>
      </c>
      <c r="C22" s="334" t="s">
        <v>242</v>
      </c>
      <c r="D22" s="335">
        <v>1</v>
      </c>
      <c r="E22" s="335">
        <v>1</v>
      </c>
      <c r="F22" s="335">
        <v>1</v>
      </c>
      <c r="G22" s="335">
        <v>1</v>
      </c>
      <c r="H22" s="335">
        <v>170</v>
      </c>
      <c r="I22" s="335">
        <v>459</v>
      </c>
      <c r="J22" s="335">
        <v>118</v>
      </c>
      <c r="K22" s="335">
        <v>2</v>
      </c>
      <c r="L22" s="335">
        <v>96</v>
      </c>
      <c r="M22" s="335">
        <v>0</v>
      </c>
      <c r="N22" s="335">
        <v>157</v>
      </c>
      <c r="O22" s="335">
        <v>169</v>
      </c>
      <c r="P22" s="335">
        <v>228</v>
      </c>
      <c r="Q22" s="335">
        <v>107</v>
      </c>
      <c r="R22" s="335">
        <v>0</v>
      </c>
      <c r="S22" s="335">
        <v>0</v>
      </c>
      <c r="T22" s="335">
        <v>1</v>
      </c>
      <c r="U22" s="335">
        <v>0</v>
      </c>
      <c r="V22" s="335">
        <v>0</v>
      </c>
      <c r="W22" s="335">
        <v>178</v>
      </c>
      <c r="X22" s="335">
        <v>0</v>
      </c>
      <c r="Y22" s="335">
        <v>260</v>
      </c>
      <c r="Z22" s="335">
        <v>0</v>
      </c>
      <c r="AA22" s="335">
        <v>0</v>
      </c>
      <c r="AB22" s="335">
        <v>1</v>
      </c>
      <c r="AC22" s="335">
        <v>96</v>
      </c>
      <c r="AD22" s="335">
        <v>156</v>
      </c>
      <c r="AE22" s="335">
        <v>81</v>
      </c>
      <c r="AF22" s="335">
        <v>93</v>
      </c>
      <c r="AG22" s="335">
        <v>1</v>
      </c>
      <c r="AH22" s="335">
        <v>1</v>
      </c>
      <c r="AI22" s="233">
        <f t="shared" si="0"/>
        <v>79.233333333333334</v>
      </c>
      <c r="AJ22" s="325">
        <v>10000</v>
      </c>
      <c r="AK22" s="111">
        <f t="shared" si="1"/>
        <v>2378</v>
      </c>
      <c r="AL22" s="234">
        <f t="shared" si="4"/>
        <v>0.23780000000000001</v>
      </c>
      <c r="AM22" s="235">
        <f t="shared" si="5"/>
        <v>7622</v>
      </c>
    </row>
    <row r="23" spans="1:39" ht="20">
      <c r="A23" s="326">
        <v>17</v>
      </c>
      <c r="B23" s="114" t="s">
        <v>56</v>
      </c>
      <c r="C23" s="102" t="s">
        <v>57</v>
      </c>
      <c r="D23" s="104"/>
      <c r="E23" s="104"/>
      <c r="F23" s="105"/>
      <c r="G23" s="105"/>
      <c r="H23" s="105"/>
      <c r="I23" s="104"/>
      <c r="J23" s="104"/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10" t="e">
        <f t="shared" si="0"/>
        <v>#DIV/0!</v>
      </c>
      <c r="AJ23" s="111">
        <v>10000</v>
      </c>
      <c r="AK23" s="111">
        <f t="shared" si="1"/>
        <v>0</v>
      </c>
      <c r="AL23" s="112">
        <f t="shared" si="4"/>
        <v>0</v>
      </c>
      <c r="AM23" s="113">
        <f t="shared" si="5"/>
        <v>10000</v>
      </c>
    </row>
    <row r="24" spans="1:39" s="116" customFormat="1" ht="28.5" customHeight="1">
      <c r="C24" s="124" t="s">
        <v>70</v>
      </c>
      <c r="D24" s="118">
        <f t="shared" ref="D24:R24" si="6">SUM(D6:D21)</f>
        <v>855</v>
      </c>
      <c r="E24" s="118">
        <f t="shared" si="6"/>
        <v>489</v>
      </c>
      <c r="F24" s="118">
        <f t="shared" si="6"/>
        <v>600</v>
      </c>
      <c r="G24" s="118">
        <f t="shared" si="6"/>
        <v>205</v>
      </c>
      <c r="H24" s="118">
        <f t="shared" si="6"/>
        <v>1770</v>
      </c>
      <c r="I24" s="118">
        <f t="shared" si="6"/>
        <v>2861</v>
      </c>
      <c r="J24" s="118">
        <f t="shared" si="6"/>
        <v>1850</v>
      </c>
      <c r="K24" s="118">
        <f t="shared" si="6"/>
        <v>830</v>
      </c>
      <c r="L24" s="118">
        <f t="shared" si="6"/>
        <v>1368</v>
      </c>
      <c r="M24" s="118">
        <f t="shared" si="6"/>
        <v>1124</v>
      </c>
      <c r="N24" s="118">
        <f t="shared" si="6"/>
        <v>1668</v>
      </c>
      <c r="O24" s="118">
        <f t="shared" si="6"/>
        <v>1491</v>
      </c>
      <c r="P24" s="118">
        <f t="shared" si="6"/>
        <v>2051</v>
      </c>
      <c r="Q24" s="118">
        <f t="shared" si="6"/>
        <v>1873</v>
      </c>
      <c r="R24" s="118">
        <f t="shared" si="6"/>
        <v>1153</v>
      </c>
      <c r="S24" s="118">
        <f>SUM(R6:R21)</f>
        <v>1153</v>
      </c>
      <c r="T24" s="118">
        <f>SUM(S6:S21)</f>
        <v>922</v>
      </c>
      <c r="U24" s="118">
        <f>SUM(U6:U21)</f>
        <v>1434</v>
      </c>
      <c r="V24" s="118">
        <f>SUM(V6:V21)</f>
        <v>2693</v>
      </c>
      <c r="W24" s="118">
        <f>SUM(W6:W21)</f>
        <v>3113</v>
      </c>
      <c r="X24" s="118">
        <f>SUM(X6:X21)</f>
        <v>1829</v>
      </c>
      <c r="Y24" s="118">
        <f>SUM(Y6:Y21)</f>
        <v>1914</v>
      </c>
      <c r="Z24" s="118">
        <f>SUM(Z6:Z20)</f>
        <v>2370</v>
      </c>
      <c r="AA24" s="118">
        <f t="shared" ref="AA24:AH24" si="7">SUM(AA6:AA21)</f>
        <v>1957</v>
      </c>
      <c r="AB24" s="118">
        <f t="shared" si="7"/>
        <v>1501</v>
      </c>
      <c r="AC24" s="118">
        <f t="shared" si="7"/>
        <v>2175</v>
      </c>
      <c r="AD24" s="118">
        <f t="shared" si="7"/>
        <v>1830</v>
      </c>
      <c r="AE24" s="118">
        <f t="shared" si="7"/>
        <v>2998</v>
      </c>
      <c r="AF24" s="118">
        <f t="shared" si="7"/>
        <v>1895</v>
      </c>
      <c r="AG24" s="118">
        <f t="shared" si="7"/>
        <v>2457</v>
      </c>
      <c r="AH24" s="118">
        <f t="shared" si="7"/>
        <v>832</v>
      </c>
      <c r="AI24" s="119" t="s">
        <v>66</v>
      </c>
      <c r="AJ24" s="121">
        <f>SUM(AJ6:AJ22)</f>
        <v>170000</v>
      </c>
      <c r="AK24" s="121">
        <f>SUM(AK6:AK21)</f>
        <v>50485</v>
      </c>
      <c r="AL24" s="122">
        <f t="shared" si="4"/>
        <v>0.2969705882352941</v>
      </c>
      <c r="AM24" s="119"/>
    </row>
    <row r="25" spans="1:39" s="116" customFormat="1" ht="28.5" customHeight="1">
      <c r="C25" s="124" t="s">
        <v>83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7">
        <v>3150</v>
      </c>
      <c r="AI25" s="331" t="s">
        <v>87</v>
      </c>
      <c r="AJ25" s="327">
        <f>AVERAGE(AJ6:AJ21)</f>
        <v>10000</v>
      </c>
      <c r="AK25" s="327">
        <f>AVERAGE(AK6:AK21)</f>
        <v>3155.3125</v>
      </c>
    </row>
    <row r="26" spans="1:39" s="116" customFormat="1" ht="15">
      <c r="C26" s="124" t="s">
        <v>72</v>
      </c>
      <c r="D26" s="123">
        <f>D27/D28</f>
        <v>0.11874999999999999</v>
      </c>
      <c r="E26" s="123">
        <f t="shared" ref="E26:AH26" si="8">E27/E28</f>
        <v>6.7916666666666667E-2</v>
      </c>
      <c r="F26" s="123">
        <f t="shared" si="8"/>
        <v>8.3333333333333329E-2</v>
      </c>
      <c r="G26" s="123">
        <f t="shared" si="8"/>
        <v>2.8472222222222222E-2</v>
      </c>
      <c r="H26" s="123">
        <f>H27/H28</f>
        <v>0.24583333333333332</v>
      </c>
      <c r="I26" s="123">
        <f t="shared" si="8"/>
        <v>0.39736111111111111</v>
      </c>
      <c r="J26" s="123">
        <f t="shared" si="8"/>
        <v>0.25694444444444442</v>
      </c>
      <c r="K26" s="123">
        <f t="shared" si="8"/>
        <v>0.11527777777777778</v>
      </c>
      <c r="L26" s="123">
        <f t="shared" si="8"/>
        <v>0.19</v>
      </c>
      <c r="M26" s="123">
        <f t="shared" si="8"/>
        <v>0.15611111111111112</v>
      </c>
      <c r="N26" s="123">
        <f t="shared" si="8"/>
        <v>0.23166666666666666</v>
      </c>
      <c r="O26" s="123">
        <f t="shared" si="8"/>
        <v>0.20708333333333334</v>
      </c>
      <c r="P26" s="123">
        <f t="shared" si="8"/>
        <v>0.28486111111111112</v>
      </c>
      <c r="Q26" s="123">
        <f t="shared" si="8"/>
        <v>0.26013888888888886</v>
      </c>
      <c r="R26" s="123">
        <f t="shared" si="8"/>
        <v>0.16013888888888889</v>
      </c>
      <c r="S26" s="123">
        <f>S27/S28</f>
        <v>0.16013888888888889</v>
      </c>
      <c r="T26" s="123">
        <f t="shared" si="8"/>
        <v>0.12805555555555556</v>
      </c>
      <c r="U26" s="123">
        <f t="shared" si="8"/>
        <v>0.19916666666666666</v>
      </c>
      <c r="V26" s="123">
        <f t="shared" si="8"/>
        <v>0.37402777777777779</v>
      </c>
      <c r="W26" s="123">
        <f t="shared" si="8"/>
        <v>0.43236111111111108</v>
      </c>
      <c r="X26" s="123">
        <f t="shared" si="8"/>
        <v>0.2540277777777778</v>
      </c>
      <c r="Y26" s="123">
        <f t="shared" si="8"/>
        <v>0.26583333333333331</v>
      </c>
      <c r="Z26" s="123">
        <f t="shared" si="8"/>
        <v>0.3511111111111111</v>
      </c>
      <c r="AA26" s="123">
        <f t="shared" si="8"/>
        <v>0.27180555555555558</v>
      </c>
      <c r="AB26" s="123">
        <f t="shared" si="8"/>
        <v>0.20847222222222223</v>
      </c>
      <c r="AC26" s="123">
        <f t="shared" si="8"/>
        <v>0.30208333333333331</v>
      </c>
      <c r="AD26" s="123">
        <f t="shared" si="8"/>
        <v>0.25416666666666665</v>
      </c>
      <c r="AE26" s="123">
        <f t="shared" si="8"/>
        <v>0.41638888888888886</v>
      </c>
      <c r="AF26" s="123">
        <f t="shared" si="8"/>
        <v>0.26319444444444445</v>
      </c>
      <c r="AG26" s="123">
        <f t="shared" si="8"/>
        <v>0.34125</v>
      </c>
      <c r="AH26" s="328">
        <f t="shared" si="8"/>
        <v>0.11555555555555555</v>
      </c>
      <c r="AI26" s="331"/>
    </row>
    <row r="27" spans="1:39" s="116" customFormat="1" ht="15">
      <c r="C27" s="124" t="s">
        <v>75</v>
      </c>
      <c r="D27" s="118">
        <f t="shared" ref="D27:R27" si="9">AVERAGE(D6:D21)</f>
        <v>53.4375</v>
      </c>
      <c r="E27" s="118">
        <f t="shared" si="9"/>
        <v>30.5625</v>
      </c>
      <c r="F27" s="118">
        <f t="shared" si="9"/>
        <v>37.5</v>
      </c>
      <c r="G27" s="118">
        <f t="shared" si="9"/>
        <v>12.8125</v>
      </c>
      <c r="H27" s="118">
        <f t="shared" si="9"/>
        <v>110.625</v>
      </c>
      <c r="I27" s="118">
        <f t="shared" si="9"/>
        <v>178.8125</v>
      </c>
      <c r="J27" s="118">
        <f t="shared" si="9"/>
        <v>115.625</v>
      </c>
      <c r="K27" s="118">
        <f t="shared" si="9"/>
        <v>51.875</v>
      </c>
      <c r="L27" s="118">
        <f t="shared" si="9"/>
        <v>85.5</v>
      </c>
      <c r="M27" s="118">
        <f t="shared" si="9"/>
        <v>70.25</v>
      </c>
      <c r="N27" s="118">
        <f t="shared" si="9"/>
        <v>104.25</v>
      </c>
      <c r="O27" s="118">
        <f t="shared" si="9"/>
        <v>93.1875</v>
      </c>
      <c r="P27" s="118">
        <f t="shared" si="9"/>
        <v>128.1875</v>
      </c>
      <c r="Q27" s="118">
        <f t="shared" si="9"/>
        <v>117.0625</v>
      </c>
      <c r="R27" s="118">
        <f t="shared" si="9"/>
        <v>72.0625</v>
      </c>
      <c r="S27" s="118">
        <f>AVERAGE(R6:R21)</f>
        <v>72.0625</v>
      </c>
      <c r="T27" s="118">
        <f>AVERAGE(S6:S21)</f>
        <v>57.625</v>
      </c>
      <c r="U27" s="118">
        <f>AVERAGE(U6:U21)</f>
        <v>89.625</v>
      </c>
      <c r="V27" s="118">
        <f>AVERAGE(V6:V21)</f>
        <v>168.3125</v>
      </c>
      <c r="W27" s="118">
        <f>AVERAGE(W6:W21)</f>
        <v>194.5625</v>
      </c>
      <c r="X27" s="118">
        <f>AVERAGE(X6:X21)</f>
        <v>114.3125</v>
      </c>
      <c r="Y27" s="118">
        <f>AVERAGE(Y6:Y21)</f>
        <v>119.625</v>
      </c>
      <c r="Z27" s="118">
        <f>AVERAGE(Z6:Z20)</f>
        <v>158</v>
      </c>
      <c r="AA27" s="118">
        <f t="shared" ref="AA27:AH27" si="10">AVERAGE(AA6:AA21)</f>
        <v>122.3125</v>
      </c>
      <c r="AB27" s="118">
        <f t="shared" si="10"/>
        <v>93.8125</v>
      </c>
      <c r="AC27" s="118">
        <f t="shared" si="10"/>
        <v>135.9375</v>
      </c>
      <c r="AD27" s="118">
        <f t="shared" si="10"/>
        <v>114.375</v>
      </c>
      <c r="AE27" s="118">
        <f t="shared" si="10"/>
        <v>187.375</v>
      </c>
      <c r="AF27" s="118">
        <f t="shared" si="10"/>
        <v>118.4375</v>
      </c>
      <c r="AG27" s="118">
        <f t="shared" si="10"/>
        <v>153.5625</v>
      </c>
      <c r="AH27" s="329">
        <f t="shared" si="10"/>
        <v>52</v>
      </c>
      <c r="AI27" s="332"/>
    </row>
    <row r="28" spans="1:39" s="116" customFormat="1" ht="15">
      <c r="C28" s="124" t="s">
        <v>74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  <c r="AH28" s="330">
        <v>450</v>
      </c>
      <c r="AI28" s="126"/>
    </row>
  </sheetData>
  <mergeCells count="1">
    <mergeCell ref="D1:AG1"/>
  </mergeCells>
  <phoneticPr fontId="21" type="noConversion"/>
  <conditionalFormatting sqref="B8">
    <cfRule type="duplicateValues" dxfId="120" priority="6"/>
  </conditionalFormatting>
  <conditionalFormatting sqref="B10:B11 B7">
    <cfRule type="duplicateValues" dxfId="119" priority="7"/>
  </conditionalFormatting>
  <conditionalFormatting sqref="B13">
    <cfRule type="duplicateValues" dxfId="118" priority="4"/>
  </conditionalFormatting>
  <conditionalFormatting sqref="B14">
    <cfRule type="duplicateValues" dxfId="117" priority="5"/>
  </conditionalFormatting>
  <conditionalFormatting sqref="B16:B17 B12">
    <cfRule type="duplicateValues" dxfId="116" priority="10"/>
  </conditionalFormatting>
  <conditionalFormatting sqref="B18:B19 B22:B23">
    <cfRule type="duplicateValues" dxfId="115" priority="8"/>
  </conditionalFormatting>
  <conditionalFormatting sqref="B21 B15 B9 B3:B6">
    <cfRule type="duplicateValues" dxfId="114" priority="9"/>
  </conditionalFormatting>
  <conditionalFormatting sqref="D3:AH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M3:AM23">
    <cfRule type="cellIs" dxfId="113" priority="2" operator="lessThan">
      <formula>0</formula>
    </cfRule>
    <cfRule type="cellIs" dxfId="112" priority="3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59EB-2277-44BA-B709-084C902C2F0A}">
  <dimension ref="A1:AM38"/>
  <sheetViews>
    <sheetView zoomScale="80" zoomScaleNormal="80"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AK24" sqref="AK24"/>
    </sheetView>
  </sheetViews>
  <sheetFormatPr defaultRowHeight="14.5"/>
  <cols>
    <col min="2" max="2" width="15.26953125" customWidth="1"/>
    <col min="3" max="3" width="35.08984375" bestFit="1" customWidth="1"/>
    <col min="4" max="32" width="11.7265625" bestFit="1" customWidth="1"/>
    <col min="33" max="34" width="11.7265625" hidden="1" customWidth="1"/>
    <col min="35" max="35" width="15.54296875" bestFit="1" customWidth="1"/>
    <col min="36" max="36" width="21.81640625" bestFit="1" customWidth="1"/>
    <col min="37" max="37" width="23.6328125" bestFit="1" customWidth="1"/>
    <col min="38" max="38" width="17.08984375" bestFit="1" customWidth="1"/>
    <col min="39" max="39" width="21.81640625" bestFit="1" customWidth="1"/>
  </cols>
  <sheetData>
    <row r="1" spans="1:39" ht="35.25" customHeight="1">
      <c r="C1" s="127" t="s">
        <v>240</v>
      </c>
      <c r="D1" s="367" t="s">
        <v>76</v>
      </c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157"/>
    </row>
    <row r="2" spans="1:39" s="339" customFormat="1" ht="75.5" customHeight="1">
      <c r="B2" s="318" t="s">
        <v>4</v>
      </c>
      <c r="C2" s="62" t="s">
        <v>5</v>
      </c>
      <c r="D2" s="340" t="s">
        <v>251</v>
      </c>
      <c r="E2" s="340" t="s">
        <v>252</v>
      </c>
      <c r="F2" s="340" t="s">
        <v>253</v>
      </c>
      <c r="G2" s="340" t="s">
        <v>254</v>
      </c>
      <c r="H2" s="340" t="s">
        <v>255</v>
      </c>
      <c r="I2" s="340" t="s">
        <v>256</v>
      </c>
      <c r="J2" s="340" t="s">
        <v>257</v>
      </c>
      <c r="K2" s="340" t="s">
        <v>258</v>
      </c>
      <c r="L2" s="340" t="s">
        <v>259</v>
      </c>
      <c r="M2" s="340" t="s">
        <v>260</v>
      </c>
      <c r="N2" s="340" t="s">
        <v>261</v>
      </c>
      <c r="O2" s="340" t="s">
        <v>262</v>
      </c>
      <c r="P2" s="340" t="s">
        <v>263</v>
      </c>
      <c r="Q2" s="340" t="s">
        <v>264</v>
      </c>
      <c r="R2" s="340" t="s">
        <v>265</v>
      </c>
      <c r="S2" s="340" t="s">
        <v>266</v>
      </c>
      <c r="T2" s="340" t="s">
        <v>267</v>
      </c>
      <c r="U2" s="340" t="s">
        <v>268</v>
      </c>
      <c r="V2" s="340" t="s">
        <v>269</v>
      </c>
      <c r="W2" s="340" t="s">
        <v>270</v>
      </c>
      <c r="X2" s="340" t="s">
        <v>271</v>
      </c>
      <c r="Y2" s="340" t="s">
        <v>272</v>
      </c>
      <c r="Z2" s="340" t="s">
        <v>273</v>
      </c>
      <c r="AA2" s="340" t="s">
        <v>274</v>
      </c>
      <c r="AB2" s="340" t="s">
        <v>275</v>
      </c>
      <c r="AC2" s="340" t="s">
        <v>276</v>
      </c>
      <c r="AD2" s="340" t="s">
        <v>277</v>
      </c>
      <c r="AE2" s="340" t="s">
        <v>278</v>
      </c>
      <c r="AF2" s="319" t="s">
        <v>279</v>
      </c>
      <c r="AG2" s="319" t="s">
        <v>238</v>
      </c>
      <c r="AH2" s="319" t="s">
        <v>239</v>
      </c>
      <c r="AI2" s="320" t="s">
        <v>79</v>
      </c>
      <c r="AJ2" s="321" t="s">
        <v>18</v>
      </c>
      <c r="AK2" s="322" t="s">
        <v>77</v>
      </c>
      <c r="AL2" s="323" t="s">
        <v>20</v>
      </c>
      <c r="AM2" s="324" t="s">
        <v>78</v>
      </c>
    </row>
    <row r="3" spans="1:39" ht="20">
      <c r="A3" s="326">
        <v>1</v>
      </c>
      <c r="B3" s="99" t="s">
        <v>33</v>
      </c>
      <c r="C3" s="98" t="s">
        <v>34</v>
      </c>
      <c r="D3" s="103">
        <v>520</v>
      </c>
      <c r="E3" s="103">
        <v>247</v>
      </c>
      <c r="F3" s="103">
        <v>119</v>
      </c>
      <c r="G3" s="103">
        <v>5</v>
      </c>
      <c r="H3" s="103">
        <v>0</v>
      </c>
      <c r="I3" s="103">
        <v>74</v>
      </c>
      <c r="J3" s="103">
        <v>263</v>
      </c>
      <c r="K3" s="103">
        <v>243</v>
      </c>
      <c r="L3" s="103">
        <v>248</v>
      </c>
      <c r="M3" s="103">
        <v>385</v>
      </c>
      <c r="N3" s="103">
        <v>148</v>
      </c>
      <c r="O3" s="103">
        <v>53</v>
      </c>
      <c r="P3" s="103">
        <v>0</v>
      </c>
      <c r="Q3" s="103">
        <v>0</v>
      </c>
      <c r="R3" s="103">
        <v>0</v>
      </c>
      <c r="S3" s="103">
        <v>75</v>
      </c>
      <c r="T3" s="103">
        <v>628</v>
      </c>
      <c r="U3" s="103">
        <v>132</v>
      </c>
      <c r="V3" s="103">
        <v>118</v>
      </c>
      <c r="W3" s="103">
        <v>7</v>
      </c>
      <c r="X3" s="103">
        <v>73</v>
      </c>
      <c r="Y3" s="103">
        <v>461</v>
      </c>
      <c r="Z3" s="103">
        <v>328</v>
      </c>
      <c r="AA3" s="103">
        <v>20</v>
      </c>
      <c r="AB3" s="103">
        <v>0</v>
      </c>
      <c r="AC3" s="103">
        <v>183</v>
      </c>
      <c r="AD3" s="103">
        <v>144</v>
      </c>
      <c r="AE3" s="103">
        <v>0</v>
      </c>
      <c r="AF3" s="103">
        <v>71</v>
      </c>
      <c r="AG3" s="103"/>
      <c r="AH3" s="103"/>
      <c r="AI3" s="110">
        <f t="shared" ref="AI3:AI23" si="0">AVERAGE(D3:AG3)</f>
        <v>156.72413793103448</v>
      </c>
      <c r="AJ3" s="111">
        <v>10000</v>
      </c>
      <c r="AK3" s="111">
        <f t="shared" ref="AK3:AK23" si="1">SUM(D3:AG3)</f>
        <v>4545</v>
      </c>
      <c r="AL3" s="112">
        <f t="shared" ref="AL3:AL16" si="2">AK3/AJ3</f>
        <v>0.45450000000000002</v>
      </c>
      <c r="AM3" s="113">
        <f t="shared" ref="AM3:AM16" si="3">AJ3-AK3</f>
        <v>5455</v>
      </c>
    </row>
    <row r="4" spans="1:39" ht="20">
      <c r="A4" s="326">
        <v>2</v>
      </c>
      <c r="B4" s="99" t="s">
        <v>51</v>
      </c>
      <c r="C4" s="98" t="s">
        <v>165</v>
      </c>
      <c r="D4" s="103">
        <v>0</v>
      </c>
      <c r="E4" s="103">
        <v>3</v>
      </c>
      <c r="F4" s="103">
        <v>0</v>
      </c>
      <c r="G4" s="103">
        <v>155</v>
      </c>
      <c r="H4" s="103">
        <v>278</v>
      </c>
      <c r="I4" s="103">
        <v>1</v>
      </c>
      <c r="J4" s="103">
        <v>1</v>
      </c>
      <c r="K4" s="103">
        <v>223</v>
      </c>
      <c r="L4" s="103">
        <v>198</v>
      </c>
      <c r="M4" s="103">
        <v>247</v>
      </c>
      <c r="N4" s="103">
        <v>127</v>
      </c>
      <c r="O4" s="103">
        <v>168</v>
      </c>
      <c r="P4" s="103">
        <v>12</v>
      </c>
      <c r="Q4" s="103">
        <v>1</v>
      </c>
      <c r="R4" s="103">
        <v>158</v>
      </c>
      <c r="S4" s="103">
        <v>267</v>
      </c>
      <c r="T4" s="103">
        <v>186</v>
      </c>
      <c r="U4" s="103">
        <v>244</v>
      </c>
      <c r="V4" s="103">
        <v>336</v>
      </c>
      <c r="W4" s="103">
        <v>166</v>
      </c>
      <c r="X4" s="103">
        <v>10</v>
      </c>
      <c r="Y4" s="103">
        <v>1</v>
      </c>
      <c r="Z4" s="103">
        <v>0</v>
      </c>
      <c r="AA4" s="103">
        <v>437</v>
      </c>
      <c r="AB4" s="103">
        <v>343</v>
      </c>
      <c r="AC4" s="103">
        <v>486</v>
      </c>
      <c r="AD4" s="103">
        <v>166</v>
      </c>
      <c r="AE4" s="103">
        <v>0</v>
      </c>
      <c r="AF4" s="103">
        <v>36</v>
      </c>
      <c r="AG4" s="103"/>
      <c r="AH4" s="103"/>
      <c r="AI4" s="110">
        <f t="shared" si="0"/>
        <v>146.55172413793105</v>
      </c>
      <c r="AJ4" s="111">
        <v>10000</v>
      </c>
      <c r="AK4" s="111">
        <f t="shared" si="1"/>
        <v>4250</v>
      </c>
      <c r="AL4" s="112">
        <f t="shared" si="2"/>
        <v>0.42499999999999999</v>
      </c>
      <c r="AM4" s="113">
        <f t="shared" si="3"/>
        <v>5750</v>
      </c>
    </row>
    <row r="5" spans="1:39" ht="20">
      <c r="A5" s="326">
        <v>3</v>
      </c>
      <c r="B5" s="99" t="s">
        <v>45</v>
      </c>
      <c r="C5" s="98" t="s">
        <v>46</v>
      </c>
      <c r="D5" s="103">
        <v>1</v>
      </c>
      <c r="E5" s="103">
        <v>1</v>
      </c>
      <c r="F5" s="103">
        <v>316</v>
      </c>
      <c r="G5" s="103">
        <v>420</v>
      </c>
      <c r="H5" s="103">
        <v>390</v>
      </c>
      <c r="I5" s="103">
        <v>282</v>
      </c>
      <c r="J5" s="103">
        <v>3</v>
      </c>
      <c r="K5" s="103">
        <v>1</v>
      </c>
      <c r="L5" s="103">
        <v>2</v>
      </c>
      <c r="M5" s="103">
        <v>259</v>
      </c>
      <c r="N5" s="103">
        <v>203</v>
      </c>
      <c r="O5" s="103">
        <v>224</v>
      </c>
      <c r="P5" s="103">
        <v>163</v>
      </c>
      <c r="Q5" s="103">
        <v>230</v>
      </c>
      <c r="R5" s="103">
        <v>111</v>
      </c>
      <c r="S5" s="103">
        <v>219</v>
      </c>
      <c r="T5" s="103">
        <v>1</v>
      </c>
      <c r="U5" s="103">
        <v>1</v>
      </c>
      <c r="V5" s="103">
        <v>297</v>
      </c>
      <c r="W5" s="103">
        <v>261</v>
      </c>
      <c r="X5" s="103">
        <v>112</v>
      </c>
      <c r="Y5" s="103">
        <v>64</v>
      </c>
      <c r="Z5" s="103">
        <v>137</v>
      </c>
      <c r="AA5" s="103">
        <v>174</v>
      </c>
      <c r="AB5" s="103">
        <v>0</v>
      </c>
      <c r="AC5" s="103">
        <v>0</v>
      </c>
      <c r="AD5" s="103">
        <v>116</v>
      </c>
      <c r="AE5" s="103">
        <v>210</v>
      </c>
      <c r="AF5" s="103">
        <v>38</v>
      </c>
      <c r="AG5" s="103"/>
      <c r="AH5" s="103"/>
      <c r="AI5" s="110">
        <f t="shared" si="0"/>
        <v>146.06896551724137</v>
      </c>
      <c r="AJ5" s="111">
        <v>10000</v>
      </c>
      <c r="AK5" s="111">
        <f t="shared" si="1"/>
        <v>4236</v>
      </c>
      <c r="AL5" s="112">
        <f t="shared" si="2"/>
        <v>0.42359999999999998</v>
      </c>
      <c r="AM5" s="113">
        <f t="shared" si="3"/>
        <v>5764</v>
      </c>
    </row>
    <row r="6" spans="1:39" ht="20">
      <c r="A6" s="326">
        <v>4</v>
      </c>
      <c r="B6" s="99" t="s">
        <v>47</v>
      </c>
      <c r="C6" s="98" t="s">
        <v>48</v>
      </c>
      <c r="D6" s="103">
        <v>0</v>
      </c>
      <c r="E6" s="103">
        <v>0</v>
      </c>
      <c r="F6" s="103">
        <v>12</v>
      </c>
      <c r="G6" s="103">
        <v>173</v>
      </c>
      <c r="H6" s="103">
        <v>260</v>
      </c>
      <c r="I6" s="103">
        <v>367</v>
      </c>
      <c r="J6" s="103">
        <v>547</v>
      </c>
      <c r="K6" s="103">
        <v>2</v>
      </c>
      <c r="L6" s="103">
        <v>0</v>
      </c>
      <c r="M6" s="103">
        <v>255</v>
      </c>
      <c r="N6" s="103">
        <v>173</v>
      </c>
      <c r="O6" s="103">
        <v>135</v>
      </c>
      <c r="P6" s="103">
        <v>267</v>
      </c>
      <c r="Q6" s="103">
        <v>256</v>
      </c>
      <c r="R6" s="103">
        <v>316</v>
      </c>
      <c r="S6" s="103">
        <v>0</v>
      </c>
      <c r="T6" s="103">
        <v>11</v>
      </c>
      <c r="U6" s="103">
        <v>0</v>
      </c>
      <c r="V6" s="103">
        <v>0</v>
      </c>
      <c r="W6" s="103">
        <v>229</v>
      </c>
      <c r="X6" s="103">
        <v>420</v>
      </c>
      <c r="Y6" s="103">
        <v>42</v>
      </c>
      <c r="Z6" s="103">
        <v>141</v>
      </c>
      <c r="AA6" s="103">
        <v>96</v>
      </c>
      <c r="AB6" s="103">
        <v>146</v>
      </c>
      <c r="AC6" s="103">
        <v>342</v>
      </c>
      <c r="AD6" s="103">
        <v>0</v>
      </c>
      <c r="AE6" s="103">
        <v>0</v>
      </c>
      <c r="AF6" s="103">
        <v>10</v>
      </c>
      <c r="AG6" s="103"/>
      <c r="AH6" s="103"/>
      <c r="AI6" s="110">
        <f t="shared" si="0"/>
        <v>144.82758620689654</v>
      </c>
      <c r="AJ6" s="111">
        <v>10000</v>
      </c>
      <c r="AK6" s="111">
        <f t="shared" si="1"/>
        <v>4200</v>
      </c>
      <c r="AL6" s="112">
        <f t="shared" si="2"/>
        <v>0.42</v>
      </c>
      <c r="AM6" s="113">
        <f t="shared" si="3"/>
        <v>5800</v>
      </c>
    </row>
    <row r="7" spans="1:39" ht="20.5" customHeight="1">
      <c r="A7" s="326">
        <v>5</v>
      </c>
      <c r="B7" s="99" t="s">
        <v>35</v>
      </c>
      <c r="C7" s="98" t="s">
        <v>36</v>
      </c>
      <c r="D7" s="103">
        <v>0</v>
      </c>
      <c r="E7" s="103">
        <v>48</v>
      </c>
      <c r="F7" s="103">
        <v>313</v>
      </c>
      <c r="G7" s="103">
        <v>2</v>
      </c>
      <c r="H7" s="103">
        <v>287</v>
      </c>
      <c r="I7" s="103">
        <v>152</v>
      </c>
      <c r="J7" s="103">
        <v>388</v>
      </c>
      <c r="K7" s="103">
        <v>329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0</v>
      </c>
      <c r="S7" s="103">
        <v>74</v>
      </c>
      <c r="T7" s="103">
        <v>578</v>
      </c>
      <c r="U7" s="103">
        <v>131</v>
      </c>
      <c r="V7" s="103">
        <v>187</v>
      </c>
      <c r="W7" s="103">
        <v>0</v>
      </c>
      <c r="X7" s="103">
        <v>0</v>
      </c>
      <c r="Y7" s="103">
        <v>169</v>
      </c>
      <c r="Z7" s="103">
        <v>106</v>
      </c>
      <c r="AA7" s="103">
        <v>71</v>
      </c>
      <c r="AB7" s="103">
        <v>0</v>
      </c>
      <c r="AC7" s="103">
        <v>1</v>
      </c>
      <c r="AD7" s="103">
        <v>441</v>
      </c>
      <c r="AE7" s="103">
        <v>140</v>
      </c>
      <c r="AF7" s="103">
        <v>498</v>
      </c>
      <c r="AG7" s="103"/>
      <c r="AH7" s="103"/>
      <c r="AI7" s="110">
        <f t="shared" si="0"/>
        <v>135</v>
      </c>
      <c r="AJ7" s="111">
        <v>10000</v>
      </c>
      <c r="AK7" s="111">
        <f t="shared" si="1"/>
        <v>3915</v>
      </c>
      <c r="AL7" s="112">
        <f t="shared" si="2"/>
        <v>0.39150000000000001</v>
      </c>
      <c r="AM7" s="113">
        <f t="shared" si="3"/>
        <v>6085</v>
      </c>
    </row>
    <row r="8" spans="1:39" ht="20">
      <c r="A8" s="326">
        <v>6</v>
      </c>
      <c r="B8" s="99" t="s">
        <v>55</v>
      </c>
      <c r="C8" s="98" t="s">
        <v>68</v>
      </c>
      <c r="D8" s="103">
        <v>0</v>
      </c>
      <c r="E8" s="103">
        <v>0</v>
      </c>
      <c r="F8" s="103">
        <v>224</v>
      </c>
      <c r="G8" s="103">
        <v>451</v>
      </c>
      <c r="H8" s="103">
        <v>1</v>
      </c>
      <c r="I8" s="103">
        <v>296</v>
      </c>
      <c r="J8" s="103">
        <v>462</v>
      </c>
      <c r="K8" s="103">
        <v>1</v>
      </c>
      <c r="L8" s="103">
        <v>1</v>
      </c>
      <c r="M8" s="103">
        <v>219</v>
      </c>
      <c r="N8" s="103">
        <v>57</v>
      </c>
      <c r="O8" s="103">
        <v>187</v>
      </c>
      <c r="P8" s="103">
        <v>231</v>
      </c>
      <c r="Q8" s="103">
        <v>202</v>
      </c>
      <c r="R8" s="103">
        <v>13</v>
      </c>
      <c r="S8" s="103">
        <v>0</v>
      </c>
      <c r="T8" s="103">
        <v>0</v>
      </c>
      <c r="U8" s="103">
        <v>0</v>
      </c>
      <c r="V8" s="103">
        <v>12</v>
      </c>
      <c r="W8" s="103">
        <v>11</v>
      </c>
      <c r="X8" s="103">
        <v>256</v>
      </c>
      <c r="Y8" s="103">
        <v>443</v>
      </c>
      <c r="Z8" s="103">
        <v>0</v>
      </c>
      <c r="AA8" s="103">
        <v>1</v>
      </c>
      <c r="AB8" s="103">
        <v>0</v>
      </c>
      <c r="AC8" s="103">
        <v>66</v>
      </c>
      <c r="AD8" s="103">
        <v>3</v>
      </c>
      <c r="AE8" s="103">
        <v>194</v>
      </c>
      <c r="AF8" s="103">
        <v>348</v>
      </c>
      <c r="AG8" s="103"/>
      <c r="AH8" s="103"/>
      <c r="AI8" s="110">
        <f t="shared" si="0"/>
        <v>126.86206896551724</v>
      </c>
      <c r="AJ8" s="111">
        <v>10000</v>
      </c>
      <c r="AK8" s="111">
        <f t="shared" si="1"/>
        <v>3679</v>
      </c>
      <c r="AL8" s="112">
        <f t="shared" si="2"/>
        <v>0.3679</v>
      </c>
      <c r="AM8" s="113">
        <f t="shared" si="3"/>
        <v>6321</v>
      </c>
    </row>
    <row r="9" spans="1:39" ht="20">
      <c r="A9" s="326">
        <v>7</v>
      </c>
      <c r="B9" s="200" t="s">
        <v>40</v>
      </c>
      <c r="C9" s="98" t="s">
        <v>160</v>
      </c>
      <c r="D9" s="103">
        <v>0</v>
      </c>
      <c r="E9" s="103">
        <v>0</v>
      </c>
      <c r="F9" s="103">
        <v>0</v>
      </c>
      <c r="G9" s="103">
        <v>0</v>
      </c>
      <c r="H9" s="103">
        <v>0</v>
      </c>
      <c r="I9" s="103">
        <v>14</v>
      </c>
      <c r="J9" s="103">
        <v>0</v>
      </c>
      <c r="K9" s="103">
        <v>0</v>
      </c>
      <c r="L9" s="103">
        <v>0</v>
      </c>
      <c r="M9" s="103">
        <v>229</v>
      </c>
      <c r="N9" s="103">
        <v>88</v>
      </c>
      <c r="O9" s="103">
        <v>127</v>
      </c>
      <c r="P9" s="103">
        <v>231</v>
      </c>
      <c r="Q9" s="103">
        <v>202</v>
      </c>
      <c r="R9" s="103">
        <v>169</v>
      </c>
      <c r="S9" s="103">
        <v>336</v>
      </c>
      <c r="T9" s="103">
        <v>0</v>
      </c>
      <c r="U9" s="103">
        <v>0</v>
      </c>
      <c r="V9" s="103">
        <v>1</v>
      </c>
      <c r="W9" s="103">
        <v>182</v>
      </c>
      <c r="X9" s="103">
        <v>365</v>
      </c>
      <c r="Y9" s="103">
        <v>143</v>
      </c>
      <c r="Z9" s="103">
        <v>55</v>
      </c>
      <c r="AA9" s="103">
        <v>94</v>
      </c>
      <c r="AB9" s="103">
        <v>0</v>
      </c>
      <c r="AC9" s="103">
        <v>114</v>
      </c>
      <c r="AD9" s="103">
        <v>122</v>
      </c>
      <c r="AE9" s="103">
        <v>323</v>
      </c>
      <c r="AF9" s="103">
        <v>149</v>
      </c>
      <c r="AG9" s="103"/>
      <c r="AH9" s="103"/>
      <c r="AI9" s="110">
        <f t="shared" si="0"/>
        <v>101.51724137931035</v>
      </c>
      <c r="AJ9" s="111">
        <v>10000</v>
      </c>
      <c r="AK9" s="111">
        <f t="shared" si="1"/>
        <v>2944</v>
      </c>
      <c r="AL9" s="112">
        <f t="shared" si="2"/>
        <v>0.2944</v>
      </c>
      <c r="AM9" s="201">
        <f t="shared" si="3"/>
        <v>7056</v>
      </c>
    </row>
    <row r="10" spans="1:39" ht="20">
      <c r="A10" s="326">
        <v>8</v>
      </c>
      <c r="B10" s="99" t="s">
        <v>38</v>
      </c>
      <c r="C10" s="98" t="s">
        <v>39</v>
      </c>
      <c r="D10" s="103">
        <v>0</v>
      </c>
      <c r="E10" s="103">
        <v>0</v>
      </c>
      <c r="F10" s="103">
        <v>12</v>
      </c>
      <c r="G10" s="103">
        <v>169</v>
      </c>
      <c r="H10" s="103">
        <v>230</v>
      </c>
      <c r="I10" s="103">
        <v>138</v>
      </c>
      <c r="J10" s="103">
        <v>131</v>
      </c>
      <c r="K10" s="103">
        <v>130</v>
      </c>
      <c r="L10" s="103">
        <v>259</v>
      </c>
      <c r="M10" s="103">
        <v>83</v>
      </c>
      <c r="N10" s="103">
        <v>258</v>
      </c>
      <c r="O10" s="103">
        <v>12</v>
      </c>
      <c r="P10" s="103">
        <v>2</v>
      </c>
      <c r="Q10" s="103">
        <v>0</v>
      </c>
      <c r="R10" s="103">
        <v>205</v>
      </c>
      <c r="S10" s="103">
        <v>202</v>
      </c>
      <c r="T10" s="103">
        <v>138</v>
      </c>
      <c r="U10" s="103">
        <v>145</v>
      </c>
      <c r="V10" s="103">
        <v>142</v>
      </c>
      <c r="W10" s="103">
        <v>260</v>
      </c>
      <c r="X10" s="103">
        <v>226</v>
      </c>
      <c r="Y10" s="103">
        <v>77</v>
      </c>
      <c r="Z10" s="103">
        <v>0</v>
      </c>
      <c r="AA10" s="103">
        <v>0</v>
      </c>
      <c r="AB10" s="103">
        <v>0</v>
      </c>
      <c r="AC10" s="103">
        <v>0</v>
      </c>
      <c r="AD10" s="103">
        <v>0</v>
      </c>
      <c r="AE10" s="103">
        <v>0</v>
      </c>
      <c r="AF10" s="103">
        <v>34</v>
      </c>
      <c r="AG10" s="103"/>
      <c r="AH10" s="103"/>
      <c r="AI10" s="110">
        <f t="shared" si="0"/>
        <v>98.379310344827587</v>
      </c>
      <c r="AJ10" s="111">
        <v>10000</v>
      </c>
      <c r="AK10" s="111">
        <f t="shared" si="1"/>
        <v>2853</v>
      </c>
      <c r="AL10" s="112">
        <f t="shared" si="2"/>
        <v>0.2853</v>
      </c>
      <c r="AM10" s="113">
        <f t="shared" si="3"/>
        <v>7147</v>
      </c>
    </row>
    <row r="11" spans="1:39" ht="20">
      <c r="A11" s="326">
        <v>9</v>
      </c>
      <c r="B11" s="115" t="s">
        <v>58</v>
      </c>
      <c r="C11" s="98" t="s">
        <v>59</v>
      </c>
      <c r="D11" s="103">
        <v>1</v>
      </c>
      <c r="E11" s="103">
        <v>3</v>
      </c>
      <c r="F11" s="103">
        <v>1</v>
      </c>
      <c r="G11" s="103">
        <v>162</v>
      </c>
      <c r="H11" s="103">
        <v>234</v>
      </c>
      <c r="I11" s="103">
        <v>139</v>
      </c>
      <c r="J11" s="103">
        <v>131</v>
      </c>
      <c r="K11" s="103">
        <v>146</v>
      </c>
      <c r="L11" s="103">
        <v>219</v>
      </c>
      <c r="M11" s="103">
        <v>102</v>
      </c>
      <c r="N11" s="103">
        <v>258</v>
      </c>
      <c r="O11" s="103">
        <v>12</v>
      </c>
      <c r="P11" s="103">
        <v>3</v>
      </c>
      <c r="Q11" s="103">
        <v>198</v>
      </c>
      <c r="R11" s="103">
        <v>208</v>
      </c>
      <c r="S11" s="103">
        <v>43</v>
      </c>
      <c r="T11" s="103">
        <v>238</v>
      </c>
      <c r="U11" s="103">
        <v>162</v>
      </c>
      <c r="V11" s="103">
        <v>133</v>
      </c>
      <c r="W11" s="103">
        <v>315</v>
      </c>
      <c r="X11" s="103">
        <v>111</v>
      </c>
      <c r="Y11" s="103">
        <v>1</v>
      </c>
      <c r="Z11" s="103">
        <v>0</v>
      </c>
      <c r="AA11" s="103">
        <v>0</v>
      </c>
      <c r="AB11" s="103">
        <v>0</v>
      </c>
      <c r="AC11" s="103">
        <v>1</v>
      </c>
      <c r="AD11" s="103">
        <v>1</v>
      </c>
      <c r="AE11" s="103">
        <v>3</v>
      </c>
      <c r="AF11" s="103">
        <v>8</v>
      </c>
      <c r="AG11" s="103"/>
      <c r="AH11" s="103"/>
      <c r="AI11" s="110">
        <f t="shared" si="0"/>
        <v>97.689655172413794</v>
      </c>
      <c r="AJ11" s="111">
        <v>10000</v>
      </c>
      <c r="AK11" s="111">
        <f t="shared" si="1"/>
        <v>2833</v>
      </c>
      <c r="AL11" s="112">
        <f t="shared" si="2"/>
        <v>0.2833</v>
      </c>
      <c r="AM11" s="113">
        <f t="shared" si="3"/>
        <v>7167</v>
      </c>
    </row>
    <row r="12" spans="1:39" ht="20">
      <c r="A12" s="326">
        <v>10</v>
      </c>
      <c r="B12" s="99" t="s">
        <v>60</v>
      </c>
      <c r="C12" s="98" t="s">
        <v>61</v>
      </c>
      <c r="D12" s="103">
        <v>1</v>
      </c>
      <c r="E12" s="103">
        <v>4</v>
      </c>
      <c r="F12" s="103">
        <v>1</v>
      </c>
      <c r="G12" s="103">
        <v>87</v>
      </c>
      <c r="H12" s="103">
        <v>346</v>
      </c>
      <c r="I12" s="103">
        <v>231</v>
      </c>
      <c r="J12" s="103">
        <v>1</v>
      </c>
      <c r="K12" s="103">
        <v>198</v>
      </c>
      <c r="L12" s="103">
        <v>391</v>
      </c>
      <c r="M12" s="103">
        <v>100</v>
      </c>
      <c r="N12" s="103">
        <v>0</v>
      </c>
      <c r="O12" s="103">
        <v>0</v>
      </c>
      <c r="P12" s="103">
        <v>10</v>
      </c>
      <c r="Q12" s="103">
        <v>0</v>
      </c>
      <c r="R12" s="103">
        <v>161</v>
      </c>
      <c r="S12" s="103">
        <v>272</v>
      </c>
      <c r="T12" s="103">
        <v>163</v>
      </c>
      <c r="U12" s="103">
        <v>265</v>
      </c>
      <c r="V12" s="103">
        <v>114</v>
      </c>
      <c r="W12" s="103">
        <v>249</v>
      </c>
      <c r="X12" s="103">
        <v>164</v>
      </c>
      <c r="Y12" s="103">
        <v>11</v>
      </c>
      <c r="Z12" s="103">
        <v>0</v>
      </c>
      <c r="AA12" s="103">
        <v>0</v>
      </c>
      <c r="AB12" s="103">
        <v>1</v>
      </c>
      <c r="AC12" s="103">
        <v>0</v>
      </c>
      <c r="AD12" s="103">
        <v>1</v>
      </c>
      <c r="AE12" s="103">
        <v>22</v>
      </c>
      <c r="AF12" s="103">
        <v>4</v>
      </c>
      <c r="AG12" s="103"/>
      <c r="AH12" s="103"/>
      <c r="AI12" s="110">
        <f t="shared" si="0"/>
        <v>96.448275862068968</v>
      </c>
      <c r="AJ12" s="111">
        <v>10000</v>
      </c>
      <c r="AK12" s="111">
        <f t="shared" si="1"/>
        <v>2797</v>
      </c>
      <c r="AL12" s="112">
        <f t="shared" si="2"/>
        <v>0.2797</v>
      </c>
      <c r="AM12" s="113">
        <f t="shared" si="3"/>
        <v>7203</v>
      </c>
    </row>
    <row r="13" spans="1:39" ht="20">
      <c r="A13" s="326">
        <v>11</v>
      </c>
      <c r="B13" s="99" t="s">
        <v>49</v>
      </c>
      <c r="C13" s="98" t="s">
        <v>50</v>
      </c>
      <c r="D13" s="103">
        <v>0</v>
      </c>
      <c r="E13" s="103">
        <v>4</v>
      </c>
      <c r="F13" s="103">
        <v>1</v>
      </c>
      <c r="G13" s="103">
        <v>165</v>
      </c>
      <c r="H13" s="103">
        <v>227</v>
      </c>
      <c r="I13" s="103">
        <v>139</v>
      </c>
      <c r="J13" s="103">
        <v>132</v>
      </c>
      <c r="K13" s="103">
        <v>218</v>
      </c>
      <c r="L13" s="103">
        <v>369</v>
      </c>
      <c r="M13" s="103">
        <v>94</v>
      </c>
      <c r="N13" s="103">
        <v>0</v>
      </c>
      <c r="O13" s="103">
        <v>11</v>
      </c>
      <c r="P13" s="103">
        <v>3</v>
      </c>
      <c r="Q13" s="103">
        <v>197</v>
      </c>
      <c r="R13" s="103">
        <v>205</v>
      </c>
      <c r="S13" s="103">
        <v>46</v>
      </c>
      <c r="T13" s="103">
        <v>236</v>
      </c>
      <c r="U13" s="103">
        <v>154</v>
      </c>
      <c r="V13" s="103">
        <v>191</v>
      </c>
      <c r="W13" s="103">
        <v>154</v>
      </c>
      <c r="X13" s="103">
        <v>220</v>
      </c>
      <c r="Y13" s="103">
        <v>0</v>
      </c>
      <c r="Z13" s="103">
        <v>0</v>
      </c>
      <c r="AA13" s="103">
        <v>0</v>
      </c>
      <c r="AB13" s="103">
        <v>0</v>
      </c>
      <c r="AC13" s="103">
        <v>0</v>
      </c>
      <c r="AD13" s="103">
        <v>0</v>
      </c>
      <c r="AE13" s="103">
        <v>24</v>
      </c>
      <c r="AF13" s="103">
        <v>4</v>
      </c>
      <c r="AG13" s="103"/>
      <c r="AH13" s="103"/>
      <c r="AI13" s="110">
        <f t="shared" si="0"/>
        <v>96.34482758620689</v>
      </c>
      <c r="AJ13" s="111">
        <v>10000</v>
      </c>
      <c r="AK13" s="111">
        <f t="shared" si="1"/>
        <v>2794</v>
      </c>
      <c r="AL13" s="112">
        <f t="shared" si="2"/>
        <v>0.27939999999999998</v>
      </c>
      <c r="AM13" s="113">
        <f t="shared" si="3"/>
        <v>7206</v>
      </c>
    </row>
    <row r="14" spans="1:39" ht="20">
      <c r="A14" s="326">
        <v>12</v>
      </c>
      <c r="B14" s="99" t="s">
        <v>43</v>
      </c>
      <c r="C14" s="98" t="s">
        <v>164</v>
      </c>
      <c r="D14" s="103">
        <v>0</v>
      </c>
      <c r="E14" s="103">
        <v>3</v>
      </c>
      <c r="F14" s="103">
        <v>0</v>
      </c>
      <c r="G14" s="103">
        <v>1</v>
      </c>
      <c r="H14" s="103">
        <v>192</v>
      </c>
      <c r="I14" s="103">
        <v>249</v>
      </c>
      <c r="J14" s="103">
        <v>225</v>
      </c>
      <c r="K14" s="103">
        <v>87</v>
      </c>
      <c r="L14" s="103">
        <v>397</v>
      </c>
      <c r="M14" s="103">
        <v>210</v>
      </c>
      <c r="N14" s="103">
        <v>0</v>
      </c>
      <c r="O14" s="103">
        <v>10</v>
      </c>
      <c r="P14" s="103">
        <v>8</v>
      </c>
      <c r="Q14" s="103">
        <v>1</v>
      </c>
      <c r="R14" s="103">
        <v>131</v>
      </c>
      <c r="S14" s="103">
        <v>273</v>
      </c>
      <c r="T14" s="103">
        <v>77</v>
      </c>
      <c r="U14" s="103">
        <v>321</v>
      </c>
      <c r="V14" s="103">
        <v>72</v>
      </c>
      <c r="W14" s="103">
        <v>127</v>
      </c>
      <c r="X14" s="103">
        <v>286</v>
      </c>
      <c r="Y14" s="103">
        <v>76</v>
      </c>
      <c r="Z14" s="103">
        <v>0</v>
      </c>
      <c r="AA14" s="103">
        <v>0</v>
      </c>
      <c r="AB14" s="103">
        <v>0</v>
      </c>
      <c r="AC14" s="103">
        <v>0</v>
      </c>
      <c r="AD14" s="103">
        <v>0</v>
      </c>
      <c r="AE14" s="103">
        <v>0</v>
      </c>
      <c r="AF14" s="103">
        <v>36</v>
      </c>
      <c r="AG14" s="103"/>
      <c r="AH14" s="103"/>
      <c r="AI14" s="110">
        <f t="shared" si="0"/>
        <v>95.931034482758619</v>
      </c>
      <c r="AJ14" s="111">
        <v>10000</v>
      </c>
      <c r="AK14" s="111">
        <f t="shared" si="1"/>
        <v>2782</v>
      </c>
      <c r="AL14" s="112">
        <f t="shared" si="2"/>
        <v>0.2782</v>
      </c>
      <c r="AM14" s="113">
        <f t="shared" si="3"/>
        <v>7218</v>
      </c>
    </row>
    <row r="15" spans="1:39" ht="20">
      <c r="A15" s="326">
        <v>13</v>
      </c>
      <c r="B15" s="99" t="s">
        <v>64</v>
      </c>
      <c r="C15" s="98" t="s">
        <v>242</v>
      </c>
      <c r="D15" s="103">
        <v>1</v>
      </c>
      <c r="E15" s="103">
        <v>0</v>
      </c>
      <c r="F15" s="103">
        <v>0</v>
      </c>
      <c r="G15" s="103">
        <v>166</v>
      </c>
      <c r="H15" s="103">
        <v>262</v>
      </c>
      <c r="I15" s="103">
        <v>226</v>
      </c>
      <c r="J15" s="103">
        <v>2</v>
      </c>
      <c r="K15" s="103">
        <v>220</v>
      </c>
      <c r="L15" s="103">
        <v>129</v>
      </c>
      <c r="M15" s="103">
        <v>321</v>
      </c>
      <c r="N15" s="103">
        <v>11</v>
      </c>
      <c r="O15" s="103">
        <v>12</v>
      </c>
      <c r="P15" s="103">
        <v>5</v>
      </c>
      <c r="Q15" s="103">
        <v>282</v>
      </c>
      <c r="R15" s="103">
        <v>32</v>
      </c>
      <c r="S15" s="103">
        <v>118</v>
      </c>
      <c r="T15" s="103">
        <v>246</v>
      </c>
      <c r="U15" s="103">
        <v>22</v>
      </c>
      <c r="V15" s="103">
        <v>277</v>
      </c>
      <c r="W15" s="103">
        <v>90</v>
      </c>
      <c r="X15" s="103">
        <v>230</v>
      </c>
      <c r="Y15" s="103">
        <v>93</v>
      </c>
      <c r="Z15" s="103">
        <v>0</v>
      </c>
      <c r="AA15" s="103">
        <v>0</v>
      </c>
      <c r="AB15" s="103">
        <v>0</v>
      </c>
      <c r="AC15" s="103">
        <v>0</v>
      </c>
      <c r="AD15" s="103">
        <v>0</v>
      </c>
      <c r="AE15" s="103">
        <v>0</v>
      </c>
      <c r="AF15" s="103">
        <v>35</v>
      </c>
      <c r="AG15" s="103"/>
      <c r="AH15" s="103"/>
      <c r="AI15" s="110">
        <f t="shared" si="0"/>
        <v>95.862068965517238</v>
      </c>
      <c r="AJ15" s="111">
        <v>10000</v>
      </c>
      <c r="AK15" s="111">
        <f t="shared" si="1"/>
        <v>2780</v>
      </c>
      <c r="AL15" s="112">
        <f t="shared" si="2"/>
        <v>0.27800000000000002</v>
      </c>
      <c r="AM15" s="113">
        <f t="shared" si="3"/>
        <v>7220</v>
      </c>
    </row>
    <row r="16" spans="1:39" ht="20">
      <c r="A16" s="326">
        <v>14</v>
      </c>
      <c r="B16" s="99" t="s">
        <v>62</v>
      </c>
      <c r="C16" s="98" t="s">
        <v>63</v>
      </c>
      <c r="D16" s="103">
        <v>0</v>
      </c>
      <c r="E16" s="103">
        <v>0</v>
      </c>
      <c r="F16" s="103">
        <v>0</v>
      </c>
      <c r="G16" s="103">
        <v>0</v>
      </c>
      <c r="H16" s="103">
        <v>0</v>
      </c>
      <c r="I16" s="103">
        <v>14</v>
      </c>
      <c r="J16" s="103">
        <v>0</v>
      </c>
      <c r="K16" s="103">
        <v>1</v>
      </c>
      <c r="L16" s="103">
        <v>1</v>
      </c>
      <c r="M16" s="103">
        <v>228</v>
      </c>
      <c r="N16" s="103">
        <v>180</v>
      </c>
      <c r="O16" s="103">
        <v>49</v>
      </c>
      <c r="P16" s="103">
        <v>200</v>
      </c>
      <c r="Q16" s="103">
        <v>283</v>
      </c>
      <c r="R16" s="103">
        <v>95</v>
      </c>
      <c r="S16" s="103">
        <v>306</v>
      </c>
      <c r="T16" s="103">
        <v>0</v>
      </c>
      <c r="U16" s="103">
        <v>0</v>
      </c>
      <c r="V16" s="103">
        <v>0</v>
      </c>
      <c r="W16" s="103">
        <v>195</v>
      </c>
      <c r="X16" s="103">
        <v>229</v>
      </c>
      <c r="Y16" s="103">
        <v>268</v>
      </c>
      <c r="Z16" s="103">
        <v>13</v>
      </c>
      <c r="AA16" s="103">
        <v>0</v>
      </c>
      <c r="AB16" s="103">
        <v>0</v>
      </c>
      <c r="AC16" s="103">
        <v>66</v>
      </c>
      <c r="AD16" s="103">
        <v>3</v>
      </c>
      <c r="AE16" s="103">
        <v>198</v>
      </c>
      <c r="AF16" s="103">
        <v>378</v>
      </c>
      <c r="AG16" s="103"/>
      <c r="AH16" s="103"/>
      <c r="AI16" s="110">
        <f t="shared" si="0"/>
        <v>93.34482758620689</v>
      </c>
      <c r="AJ16" s="111">
        <v>10000</v>
      </c>
      <c r="AK16" s="111">
        <f t="shared" si="1"/>
        <v>2707</v>
      </c>
      <c r="AL16" s="112">
        <f t="shared" si="2"/>
        <v>0.2707</v>
      </c>
      <c r="AM16" s="113">
        <f t="shared" si="3"/>
        <v>7293</v>
      </c>
    </row>
    <row r="17" spans="1:39" ht="20">
      <c r="A17" s="326">
        <v>15</v>
      </c>
      <c r="B17" s="200" t="s">
        <v>41</v>
      </c>
      <c r="C17" s="98" t="s">
        <v>42</v>
      </c>
      <c r="D17" s="103">
        <v>6</v>
      </c>
      <c r="E17" s="103">
        <v>7</v>
      </c>
      <c r="F17" s="103">
        <v>4</v>
      </c>
      <c r="G17" s="103">
        <v>1</v>
      </c>
      <c r="H17" s="103">
        <v>3</v>
      </c>
      <c r="I17" s="103">
        <v>17</v>
      </c>
      <c r="J17" s="103">
        <v>3</v>
      </c>
      <c r="K17" s="103">
        <v>2</v>
      </c>
      <c r="L17" s="103">
        <v>2</v>
      </c>
      <c r="M17" s="103">
        <v>227</v>
      </c>
      <c r="N17" s="103">
        <v>181</v>
      </c>
      <c r="O17" s="103">
        <v>247</v>
      </c>
      <c r="P17" s="103">
        <v>140</v>
      </c>
      <c r="Q17" s="103">
        <v>202</v>
      </c>
      <c r="R17" s="103">
        <v>142</v>
      </c>
      <c r="S17" s="103">
        <v>14</v>
      </c>
      <c r="T17" s="103">
        <v>5</v>
      </c>
      <c r="U17" s="103">
        <v>4</v>
      </c>
      <c r="V17" s="103">
        <v>273</v>
      </c>
      <c r="W17" s="103">
        <v>248</v>
      </c>
      <c r="X17" s="103">
        <v>138</v>
      </c>
      <c r="Y17" s="103">
        <v>3</v>
      </c>
      <c r="Z17" s="103">
        <v>195</v>
      </c>
      <c r="AA17" s="103">
        <v>144</v>
      </c>
      <c r="AB17" s="103">
        <v>34</v>
      </c>
      <c r="AC17" s="103">
        <v>0</v>
      </c>
      <c r="AD17" s="103">
        <v>2</v>
      </c>
      <c r="AE17" s="103">
        <v>0</v>
      </c>
      <c r="AF17" s="103">
        <v>2</v>
      </c>
      <c r="AG17" s="103"/>
      <c r="AH17" s="103"/>
      <c r="AI17" s="110">
        <f t="shared" si="0"/>
        <v>77.448275862068968</v>
      </c>
      <c r="AJ17" s="111">
        <v>10000</v>
      </c>
      <c r="AK17" s="111">
        <f t="shared" si="1"/>
        <v>2246</v>
      </c>
      <c r="AL17" s="112">
        <v>0.43</v>
      </c>
      <c r="AM17" s="201">
        <v>3334</v>
      </c>
    </row>
    <row r="18" spans="1:39" ht="20">
      <c r="A18" s="326">
        <v>16</v>
      </c>
      <c r="B18" s="109" t="s">
        <v>53</v>
      </c>
      <c r="C18" s="98" t="s">
        <v>241</v>
      </c>
      <c r="D18" s="103">
        <v>0</v>
      </c>
      <c r="E18" s="103">
        <v>0</v>
      </c>
      <c r="F18" s="103">
        <v>0</v>
      </c>
      <c r="G18" s="103">
        <v>0</v>
      </c>
      <c r="H18" s="103">
        <v>0</v>
      </c>
      <c r="I18" s="103">
        <v>13</v>
      </c>
      <c r="J18" s="103">
        <v>3</v>
      </c>
      <c r="K18" s="103">
        <v>1</v>
      </c>
      <c r="L18" s="103">
        <v>0</v>
      </c>
      <c r="M18" s="103">
        <v>236</v>
      </c>
      <c r="N18" s="103">
        <v>215</v>
      </c>
      <c r="O18" s="103">
        <v>214</v>
      </c>
      <c r="P18" s="103">
        <v>205</v>
      </c>
      <c r="Q18" s="103">
        <v>117</v>
      </c>
      <c r="R18" s="103">
        <v>0</v>
      </c>
      <c r="S18" s="103">
        <v>101</v>
      </c>
      <c r="T18" s="103">
        <v>0</v>
      </c>
      <c r="U18" s="103">
        <v>0</v>
      </c>
      <c r="V18" s="103">
        <v>15</v>
      </c>
      <c r="W18" s="103">
        <v>102</v>
      </c>
      <c r="X18" s="103">
        <v>525</v>
      </c>
      <c r="Y18" s="103">
        <v>66</v>
      </c>
      <c r="Z18" s="103">
        <v>0</v>
      </c>
      <c r="AA18" s="103">
        <v>0</v>
      </c>
      <c r="AB18" s="103">
        <v>0</v>
      </c>
      <c r="AC18" s="103">
        <v>0</v>
      </c>
      <c r="AD18" s="103">
        <v>0</v>
      </c>
      <c r="AE18" s="103">
        <v>0</v>
      </c>
      <c r="AF18" s="103">
        <v>0</v>
      </c>
      <c r="AG18" s="103"/>
      <c r="AH18" s="103"/>
      <c r="AI18" s="110">
        <f t="shared" si="0"/>
        <v>62.517241379310342</v>
      </c>
      <c r="AJ18" s="111">
        <v>10000</v>
      </c>
      <c r="AK18" s="111">
        <f t="shared" si="1"/>
        <v>1813</v>
      </c>
      <c r="AL18" s="112">
        <f t="shared" ref="AL18:AL23" si="4">AK18/AJ18</f>
        <v>0.18129999999999999</v>
      </c>
      <c r="AM18" s="113">
        <f t="shared" ref="AM18:AM23" si="5">AJ18-AK18</f>
        <v>8187</v>
      </c>
    </row>
    <row r="19" spans="1:39" ht="20">
      <c r="A19" s="326">
        <v>18</v>
      </c>
      <c r="B19" s="99" t="s">
        <v>37</v>
      </c>
      <c r="C19" s="98" t="s">
        <v>73</v>
      </c>
      <c r="D19" s="103">
        <v>0</v>
      </c>
      <c r="E19" s="103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220</v>
      </c>
      <c r="V19" s="103">
        <v>0</v>
      </c>
      <c r="W19" s="103">
        <v>0</v>
      </c>
      <c r="X19" s="103">
        <v>218</v>
      </c>
      <c r="Y19" s="103">
        <v>0</v>
      </c>
      <c r="Z19" s="103">
        <v>130</v>
      </c>
      <c r="AA19" s="103">
        <v>0</v>
      </c>
      <c r="AB19" s="103">
        <v>0</v>
      </c>
      <c r="AC19" s="103">
        <v>0</v>
      </c>
      <c r="AD19" s="103">
        <v>330</v>
      </c>
      <c r="AE19" s="103">
        <v>0</v>
      </c>
      <c r="AF19" s="103">
        <v>0</v>
      </c>
      <c r="AG19" s="103"/>
      <c r="AH19" s="103"/>
      <c r="AI19" s="110">
        <f t="shared" si="0"/>
        <v>30.96551724137931</v>
      </c>
      <c r="AJ19" s="111">
        <v>10000</v>
      </c>
      <c r="AK19" s="111">
        <f t="shared" si="1"/>
        <v>898</v>
      </c>
      <c r="AL19" s="112">
        <f t="shared" si="4"/>
        <v>8.9800000000000005E-2</v>
      </c>
      <c r="AM19" s="113">
        <f t="shared" si="5"/>
        <v>9102</v>
      </c>
    </row>
    <row r="20" spans="1:39" ht="20">
      <c r="A20" s="326">
        <v>19</v>
      </c>
      <c r="B20" s="109" t="s">
        <v>26</v>
      </c>
      <c r="C20" s="98"/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  <c r="AA20" s="103">
        <v>0</v>
      </c>
      <c r="AB20" s="103">
        <v>0</v>
      </c>
      <c r="AC20" s="103">
        <v>0</v>
      </c>
      <c r="AD20" s="103">
        <v>0</v>
      </c>
      <c r="AE20" s="103">
        <v>0</v>
      </c>
      <c r="AF20" s="103">
        <v>0</v>
      </c>
      <c r="AG20" s="103">
        <v>0</v>
      </c>
      <c r="AH20" s="103">
        <v>0</v>
      </c>
      <c r="AI20" s="110">
        <f t="shared" si="0"/>
        <v>0</v>
      </c>
      <c r="AJ20" s="111">
        <v>10000</v>
      </c>
      <c r="AK20" s="111">
        <f t="shared" si="1"/>
        <v>0</v>
      </c>
      <c r="AL20" s="112">
        <f t="shared" si="4"/>
        <v>0</v>
      </c>
      <c r="AM20" s="113">
        <f t="shared" si="5"/>
        <v>10000</v>
      </c>
    </row>
    <row r="21" spans="1:39" ht="20">
      <c r="A21" s="326">
        <v>20</v>
      </c>
      <c r="B21" s="109" t="s">
        <v>30</v>
      </c>
      <c r="C21" s="98"/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  <c r="AA21" s="103">
        <v>0</v>
      </c>
      <c r="AB21" s="103">
        <v>0</v>
      </c>
      <c r="AC21" s="103">
        <v>0</v>
      </c>
      <c r="AD21" s="103">
        <v>0</v>
      </c>
      <c r="AE21" s="103">
        <v>0</v>
      </c>
      <c r="AF21" s="103">
        <v>0</v>
      </c>
      <c r="AG21" s="103">
        <v>0</v>
      </c>
      <c r="AH21" s="103">
        <v>0</v>
      </c>
      <c r="AI21" s="110">
        <f t="shared" si="0"/>
        <v>0</v>
      </c>
      <c r="AJ21" s="111">
        <v>10000</v>
      </c>
      <c r="AK21" s="111">
        <f t="shared" si="1"/>
        <v>0</v>
      </c>
      <c r="AL21" s="112">
        <f t="shared" si="4"/>
        <v>0</v>
      </c>
      <c r="AM21" s="113">
        <f t="shared" si="5"/>
        <v>10000</v>
      </c>
    </row>
    <row r="22" spans="1:39" ht="20">
      <c r="A22" s="326">
        <v>21</v>
      </c>
      <c r="B22" s="337" t="s">
        <v>32</v>
      </c>
      <c r="C22" s="334"/>
      <c r="D22" s="335">
        <v>0</v>
      </c>
      <c r="E22" s="335">
        <v>0</v>
      </c>
      <c r="F22" s="335">
        <v>0</v>
      </c>
      <c r="G22" s="335">
        <v>0</v>
      </c>
      <c r="H22" s="335">
        <v>0</v>
      </c>
      <c r="I22" s="335">
        <v>0</v>
      </c>
      <c r="J22" s="335">
        <v>0</v>
      </c>
      <c r="K22" s="335">
        <v>0</v>
      </c>
      <c r="L22" s="335">
        <v>0</v>
      </c>
      <c r="M22" s="335">
        <v>0</v>
      </c>
      <c r="N22" s="335">
        <v>0</v>
      </c>
      <c r="O22" s="335">
        <v>0</v>
      </c>
      <c r="P22" s="335">
        <v>0</v>
      </c>
      <c r="Q22" s="335">
        <v>0</v>
      </c>
      <c r="R22" s="335">
        <v>0</v>
      </c>
      <c r="S22" s="335">
        <v>0</v>
      </c>
      <c r="T22" s="335">
        <v>0</v>
      </c>
      <c r="U22" s="335">
        <v>0</v>
      </c>
      <c r="V22" s="335">
        <v>0</v>
      </c>
      <c r="W22" s="335">
        <v>0</v>
      </c>
      <c r="X22" s="335">
        <v>0</v>
      </c>
      <c r="Y22" s="335">
        <v>0</v>
      </c>
      <c r="Z22" s="335">
        <v>0</v>
      </c>
      <c r="AA22" s="335">
        <v>0</v>
      </c>
      <c r="AB22" s="335">
        <v>0</v>
      </c>
      <c r="AC22" s="335">
        <v>0</v>
      </c>
      <c r="AD22" s="335">
        <v>0</v>
      </c>
      <c r="AE22" s="335">
        <v>0</v>
      </c>
      <c r="AF22" s="335">
        <v>0</v>
      </c>
      <c r="AG22" s="335">
        <v>0</v>
      </c>
      <c r="AH22" s="335">
        <v>0</v>
      </c>
      <c r="AI22" s="233">
        <f t="shared" si="0"/>
        <v>0</v>
      </c>
      <c r="AJ22" s="325">
        <v>10000</v>
      </c>
      <c r="AK22" s="111">
        <f t="shared" si="1"/>
        <v>0</v>
      </c>
      <c r="AL22" s="234">
        <f t="shared" si="4"/>
        <v>0</v>
      </c>
      <c r="AM22" s="235">
        <f t="shared" si="5"/>
        <v>10000</v>
      </c>
    </row>
    <row r="23" spans="1:39" ht="20">
      <c r="A23" s="326">
        <v>17</v>
      </c>
      <c r="B23" s="114" t="s">
        <v>56</v>
      </c>
      <c r="C23" s="102" t="s">
        <v>57</v>
      </c>
      <c r="D23" s="104"/>
      <c r="E23" s="104"/>
      <c r="F23" s="105"/>
      <c r="G23" s="105"/>
      <c r="H23" s="105"/>
      <c r="I23" s="104"/>
      <c r="J23" s="104"/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10" t="e">
        <f t="shared" si="0"/>
        <v>#DIV/0!</v>
      </c>
      <c r="AJ23" s="111">
        <v>10000</v>
      </c>
      <c r="AK23" s="111">
        <f t="shared" si="1"/>
        <v>0</v>
      </c>
      <c r="AL23" s="112">
        <f t="shared" si="4"/>
        <v>0</v>
      </c>
      <c r="AM23" s="113">
        <f t="shared" si="5"/>
        <v>10000</v>
      </c>
    </row>
    <row r="24" spans="1:39" s="116" customFormat="1" ht="28.5" customHeight="1">
      <c r="C24" s="124" t="s">
        <v>70</v>
      </c>
      <c r="D24" s="118">
        <f t="shared" ref="D24:R24" si="6">SUM(D6:D21)</f>
        <v>9</v>
      </c>
      <c r="E24" s="118">
        <f t="shared" si="6"/>
        <v>69</v>
      </c>
      <c r="F24" s="118">
        <f t="shared" si="6"/>
        <v>568</v>
      </c>
      <c r="G24" s="118">
        <f t="shared" si="6"/>
        <v>1377</v>
      </c>
      <c r="H24" s="118">
        <f t="shared" si="6"/>
        <v>2042</v>
      </c>
      <c r="I24" s="118">
        <f t="shared" si="6"/>
        <v>1995</v>
      </c>
      <c r="J24" s="118">
        <f t="shared" si="6"/>
        <v>2025</v>
      </c>
      <c r="K24" s="118">
        <f t="shared" si="6"/>
        <v>1335</v>
      </c>
      <c r="L24" s="118">
        <f t="shared" si="6"/>
        <v>1768</v>
      </c>
      <c r="M24" s="118">
        <f t="shared" si="6"/>
        <v>2304</v>
      </c>
      <c r="N24" s="118">
        <f t="shared" si="6"/>
        <v>1421</v>
      </c>
      <c r="O24" s="118">
        <f t="shared" si="6"/>
        <v>1016</v>
      </c>
      <c r="P24" s="118">
        <f t="shared" si="6"/>
        <v>1305</v>
      </c>
      <c r="Q24" s="118">
        <f t="shared" si="6"/>
        <v>1940</v>
      </c>
      <c r="R24" s="118">
        <f t="shared" si="6"/>
        <v>1677</v>
      </c>
      <c r="S24" s="118">
        <f>SUM(R6:R21)</f>
        <v>1677</v>
      </c>
      <c r="T24" s="118">
        <f>SUM(S6:S21)</f>
        <v>1785</v>
      </c>
      <c r="U24" s="118">
        <f>SUM(U6:U21)</f>
        <v>1424</v>
      </c>
      <c r="V24" s="118">
        <f>SUM(V6:V21)</f>
        <v>1417</v>
      </c>
      <c r="W24" s="118">
        <f>SUM(W6:W21)</f>
        <v>2162</v>
      </c>
      <c r="X24" s="118">
        <f>SUM(X6:X21)</f>
        <v>3388</v>
      </c>
      <c r="Y24" s="118">
        <f>SUM(Y6:Y21)</f>
        <v>1392</v>
      </c>
      <c r="Z24" s="118">
        <f>SUM(Z6:Z20)</f>
        <v>640</v>
      </c>
      <c r="AA24" s="118">
        <f t="shared" ref="AA24:AH24" si="7">SUM(AA6:AA21)</f>
        <v>406</v>
      </c>
      <c r="AB24" s="118">
        <f t="shared" si="7"/>
        <v>181</v>
      </c>
      <c r="AC24" s="118">
        <f t="shared" si="7"/>
        <v>590</v>
      </c>
      <c r="AD24" s="118">
        <f t="shared" si="7"/>
        <v>903</v>
      </c>
      <c r="AE24" s="118">
        <f t="shared" si="7"/>
        <v>904</v>
      </c>
      <c r="AF24" s="118">
        <f t="shared" si="7"/>
        <v>1506</v>
      </c>
      <c r="AG24" s="118">
        <f t="shared" si="7"/>
        <v>0</v>
      </c>
      <c r="AH24" s="118">
        <f t="shared" si="7"/>
        <v>0</v>
      </c>
      <c r="AI24" s="119" t="s">
        <v>66</v>
      </c>
      <c r="AJ24" s="121">
        <f>SUM(AJ6:AJ22)</f>
        <v>170000</v>
      </c>
      <c r="AK24" s="121">
        <f>SUM(AK3:AK21)</f>
        <v>52272</v>
      </c>
      <c r="AL24" s="122">
        <f t="shared" ref="AL24" si="8">AK24/AJ24</f>
        <v>0.30748235294117648</v>
      </c>
      <c r="AM24" s="119"/>
    </row>
    <row r="25" spans="1:39" s="116" customFormat="1" ht="28.5" customHeight="1">
      <c r="C25" s="124" t="s">
        <v>83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7">
        <v>3150</v>
      </c>
      <c r="AI25" s="331" t="s">
        <v>87</v>
      </c>
      <c r="AJ25" s="327">
        <f>AVERAGE(AJ6:AJ21)</f>
        <v>10000</v>
      </c>
      <c r="AK25" s="327">
        <f>AVERAGE(AK6:AK21)</f>
        <v>2452.5625</v>
      </c>
    </row>
    <row r="26" spans="1:39" s="116" customFormat="1" ht="15">
      <c r="C26" s="124" t="s">
        <v>72</v>
      </c>
      <c r="D26" s="123">
        <f>D27/D28</f>
        <v>1.25E-3</v>
      </c>
      <c r="E26" s="123">
        <f t="shared" ref="E26:AH26" si="9">E27/E28</f>
        <v>9.5833333333333326E-3</v>
      </c>
      <c r="F26" s="123">
        <f t="shared" si="9"/>
        <v>7.8888888888888883E-2</v>
      </c>
      <c r="G26" s="123">
        <f t="shared" si="9"/>
        <v>0.19125</v>
      </c>
      <c r="H26" s="123">
        <f>H27/H28</f>
        <v>0.28361111111111109</v>
      </c>
      <c r="I26" s="123">
        <f t="shared" si="9"/>
        <v>0.27708333333333335</v>
      </c>
      <c r="J26" s="123">
        <f t="shared" si="9"/>
        <v>0.28125</v>
      </c>
      <c r="K26" s="123">
        <f t="shared" si="9"/>
        <v>0.18541666666666667</v>
      </c>
      <c r="L26" s="123">
        <f t="shared" si="9"/>
        <v>0.24555555555555555</v>
      </c>
      <c r="M26" s="123">
        <f t="shared" si="9"/>
        <v>0.32</v>
      </c>
      <c r="N26" s="123">
        <f t="shared" si="9"/>
        <v>0.1973611111111111</v>
      </c>
      <c r="O26" s="123">
        <f t="shared" si="9"/>
        <v>0.1411111111111111</v>
      </c>
      <c r="P26" s="123">
        <f t="shared" si="9"/>
        <v>0.18124999999999999</v>
      </c>
      <c r="Q26" s="123">
        <f t="shared" si="9"/>
        <v>0.26944444444444443</v>
      </c>
      <c r="R26" s="123">
        <f t="shared" si="9"/>
        <v>0.23291666666666666</v>
      </c>
      <c r="S26" s="123">
        <f>S27/S28</f>
        <v>0.23291666666666666</v>
      </c>
      <c r="T26" s="123">
        <f t="shared" si="9"/>
        <v>0.24791666666666667</v>
      </c>
      <c r="U26" s="123">
        <f t="shared" si="9"/>
        <v>0.19777777777777777</v>
      </c>
      <c r="V26" s="123">
        <f t="shared" si="9"/>
        <v>0.19680555555555557</v>
      </c>
      <c r="W26" s="123">
        <f t="shared" si="9"/>
        <v>0.30027777777777775</v>
      </c>
      <c r="X26" s="123">
        <f t="shared" si="9"/>
        <v>0.47055555555555556</v>
      </c>
      <c r="Y26" s="123">
        <f t="shared" si="9"/>
        <v>0.19333333333333333</v>
      </c>
      <c r="Z26" s="123">
        <f t="shared" si="9"/>
        <v>9.481481481481481E-2</v>
      </c>
      <c r="AA26" s="123">
        <f t="shared" si="9"/>
        <v>5.6388888888888891E-2</v>
      </c>
      <c r="AB26" s="123">
        <f t="shared" si="9"/>
        <v>2.5138888888888888E-2</v>
      </c>
      <c r="AC26" s="123">
        <f t="shared" si="9"/>
        <v>8.1944444444444445E-2</v>
      </c>
      <c r="AD26" s="123">
        <f t="shared" si="9"/>
        <v>0.12541666666666668</v>
      </c>
      <c r="AE26" s="123">
        <f t="shared" si="9"/>
        <v>0.12555555555555556</v>
      </c>
      <c r="AF26" s="123">
        <f t="shared" si="9"/>
        <v>0.20916666666666667</v>
      </c>
      <c r="AG26" s="123">
        <f t="shared" si="9"/>
        <v>0</v>
      </c>
      <c r="AH26" s="328">
        <f t="shared" si="9"/>
        <v>0</v>
      </c>
      <c r="AI26" s="331"/>
    </row>
    <row r="27" spans="1:39" s="116" customFormat="1" ht="15">
      <c r="C27" s="124" t="s">
        <v>75</v>
      </c>
      <c r="D27" s="118">
        <f t="shared" ref="D27:R27" si="10">AVERAGE(D6:D21)</f>
        <v>0.5625</v>
      </c>
      <c r="E27" s="118">
        <f t="shared" si="10"/>
        <v>4.3125</v>
      </c>
      <c r="F27" s="118">
        <f t="shared" si="10"/>
        <v>35.5</v>
      </c>
      <c r="G27" s="118">
        <f t="shared" si="10"/>
        <v>86.0625</v>
      </c>
      <c r="H27" s="118">
        <f t="shared" si="10"/>
        <v>127.625</v>
      </c>
      <c r="I27" s="118">
        <f t="shared" si="10"/>
        <v>124.6875</v>
      </c>
      <c r="J27" s="118">
        <f t="shared" si="10"/>
        <v>126.5625</v>
      </c>
      <c r="K27" s="118">
        <f t="shared" si="10"/>
        <v>83.4375</v>
      </c>
      <c r="L27" s="118">
        <f t="shared" si="10"/>
        <v>110.5</v>
      </c>
      <c r="M27" s="118">
        <f t="shared" si="10"/>
        <v>144</v>
      </c>
      <c r="N27" s="118">
        <f t="shared" si="10"/>
        <v>88.8125</v>
      </c>
      <c r="O27" s="118">
        <f t="shared" si="10"/>
        <v>63.5</v>
      </c>
      <c r="P27" s="118">
        <f t="shared" si="10"/>
        <v>81.5625</v>
      </c>
      <c r="Q27" s="118">
        <f t="shared" si="10"/>
        <v>121.25</v>
      </c>
      <c r="R27" s="118">
        <f t="shared" si="10"/>
        <v>104.8125</v>
      </c>
      <c r="S27" s="118">
        <f>AVERAGE(R6:R21)</f>
        <v>104.8125</v>
      </c>
      <c r="T27" s="118">
        <f>AVERAGE(S6:S21)</f>
        <v>111.5625</v>
      </c>
      <c r="U27" s="118">
        <f>AVERAGE(U6:U21)</f>
        <v>89</v>
      </c>
      <c r="V27" s="118">
        <f>AVERAGE(V6:V21)</f>
        <v>88.5625</v>
      </c>
      <c r="W27" s="118">
        <f>AVERAGE(W6:W21)</f>
        <v>135.125</v>
      </c>
      <c r="X27" s="118">
        <f>AVERAGE(X6:X21)</f>
        <v>211.75</v>
      </c>
      <c r="Y27" s="118">
        <f>AVERAGE(Y6:Y21)</f>
        <v>87</v>
      </c>
      <c r="Z27" s="118">
        <f>AVERAGE(Z6:Z20)</f>
        <v>42.666666666666664</v>
      </c>
      <c r="AA27" s="118">
        <f t="shared" ref="AA27:AH27" si="11">AVERAGE(AA6:AA21)</f>
        <v>25.375</v>
      </c>
      <c r="AB27" s="118">
        <f t="shared" si="11"/>
        <v>11.3125</v>
      </c>
      <c r="AC27" s="118">
        <f t="shared" si="11"/>
        <v>36.875</v>
      </c>
      <c r="AD27" s="118">
        <f t="shared" si="11"/>
        <v>56.4375</v>
      </c>
      <c r="AE27" s="118">
        <f t="shared" si="11"/>
        <v>56.5</v>
      </c>
      <c r="AF27" s="118">
        <f t="shared" si="11"/>
        <v>94.125</v>
      </c>
      <c r="AG27" s="118">
        <f t="shared" si="11"/>
        <v>0</v>
      </c>
      <c r="AH27" s="329">
        <f t="shared" si="11"/>
        <v>0</v>
      </c>
      <c r="AI27" s="332"/>
    </row>
    <row r="28" spans="1:39" s="116" customFormat="1" ht="15">
      <c r="C28" s="124" t="s">
        <v>74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  <c r="AH28" s="330">
        <v>450</v>
      </c>
      <c r="AI28" s="126"/>
    </row>
    <row r="38" spans="5:32">
      <c r="E38" s="338">
        <v>45323</v>
      </c>
      <c r="F38" s="338">
        <v>45324</v>
      </c>
      <c r="G38" s="338">
        <v>45325</v>
      </c>
      <c r="H38" s="338">
        <v>45326</v>
      </c>
      <c r="I38" s="338">
        <v>45327</v>
      </c>
      <c r="J38" s="338">
        <v>45328</v>
      </c>
      <c r="K38" s="338">
        <v>45329</v>
      </c>
      <c r="L38" s="338">
        <v>45330</v>
      </c>
      <c r="M38" s="338">
        <v>45331</v>
      </c>
      <c r="N38" s="338">
        <v>45332</v>
      </c>
      <c r="O38" s="338">
        <v>45333</v>
      </c>
      <c r="P38" s="338">
        <v>45334</v>
      </c>
      <c r="Q38" s="338">
        <v>45335</v>
      </c>
      <c r="R38" s="338">
        <v>45336</v>
      </c>
      <c r="S38" s="338">
        <v>45337</v>
      </c>
      <c r="T38" s="338">
        <v>45338</v>
      </c>
      <c r="U38" s="338">
        <v>45339</v>
      </c>
      <c r="V38" s="338">
        <v>45340</v>
      </c>
      <c r="W38" s="338">
        <v>45341</v>
      </c>
      <c r="X38" s="338">
        <v>45342</v>
      </c>
      <c r="Y38" s="338">
        <v>45343</v>
      </c>
      <c r="Z38" s="338">
        <v>45344</v>
      </c>
      <c r="AA38" s="338">
        <v>45345</v>
      </c>
      <c r="AB38" s="338">
        <v>45346</v>
      </c>
      <c r="AC38" s="338">
        <v>45347</v>
      </c>
      <c r="AD38" s="338">
        <v>45348</v>
      </c>
      <c r="AE38" s="338">
        <v>45349</v>
      </c>
      <c r="AF38" s="338">
        <v>45350</v>
      </c>
    </row>
  </sheetData>
  <mergeCells count="1">
    <mergeCell ref="D1:AG1"/>
  </mergeCells>
  <phoneticPr fontId="21" type="noConversion"/>
  <conditionalFormatting sqref="B8">
    <cfRule type="duplicateValues" dxfId="111" priority="6"/>
  </conditionalFormatting>
  <conditionalFormatting sqref="B10:B11 B7">
    <cfRule type="duplicateValues" dxfId="110" priority="7"/>
  </conditionalFormatting>
  <conditionalFormatting sqref="B13">
    <cfRule type="duplicateValues" dxfId="109" priority="4"/>
  </conditionalFormatting>
  <conditionalFormatting sqref="B14">
    <cfRule type="duplicateValues" dxfId="108" priority="5"/>
  </conditionalFormatting>
  <conditionalFormatting sqref="B16:B17 B12">
    <cfRule type="duplicateValues" dxfId="107" priority="10"/>
  </conditionalFormatting>
  <conditionalFormatting sqref="B18:B19 B22:B23">
    <cfRule type="duplicateValues" dxfId="106" priority="8"/>
  </conditionalFormatting>
  <conditionalFormatting sqref="B21 B15 B9 B3:B6">
    <cfRule type="duplicateValues" dxfId="105" priority="9"/>
  </conditionalFormatting>
  <conditionalFormatting sqref="D3:AH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M3:AM23">
    <cfRule type="cellIs" dxfId="104" priority="2" operator="lessThan">
      <formula>0</formula>
    </cfRule>
    <cfRule type="cellIs" dxfId="103" priority="3" operator="greaterThan">
      <formula>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11AD-20FE-49F9-AD66-8C84C2949E61}">
  <dimension ref="A1:AM28"/>
  <sheetViews>
    <sheetView zoomScale="69" zoomScaleNormal="69"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AL19" sqref="AL19"/>
    </sheetView>
  </sheetViews>
  <sheetFormatPr defaultRowHeight="14.5"/>
  <cols>
    <col min="2" max="2" width="15.26953125" customWidth="1"/>
    <col min="3" max="3" width="35.08984375" bestFit="1" customWidth="1"/>
    <col min="4" max="34" width="11.7265625" bestFit="1" customWidth="1"/>
    <col min="35" max="35" width="15.54296875" bestFit="1" customWidth="1"/>
    <col min="36" max="36" width="21.81640625" bestFit="1" customWidth="1"/>
    <col min="37" max="37" width="23.6328125" bestFit="1" customWidth="1"/>
    <col min="38" max="38" width="17.08984375" bestFit="1" customWidth="1"/>
    <col min="39" max="39" width="21.81640625" bestFit="1" customWidth="1"/>
  </cols>
  <sheetData>
    <row r="1" spans="1:39" ht="35.25" customHeight="1">
      <c r="C1" s="127" t="s">
        <v>169</v>
      </c>
      <c r="D1" s="367" t="s">
        <v>76</v>
      </c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157"/>
    </row>
    <row r="2" spans="1:39" ht="73.5" customHeight="1">
      <c r="B2" s="318" t="s">
        <v>4</v>
      </c>
      <c r="C2" s="62" t="s">
        <v>5</v>
      </c>
      <c r="D2" s="319" t="s">
        <v>209</v>
      </c>
      <c r="E2" s="319" t="s">
        <v>210</v>
      </c>
      <c r="F2" s="319" t="s">
        <v>211</v>
      </c>
      <c r="G2" s="319" t="s">
        <v>212</v>
      </c>
      <c r="H2" s="319" t="s">
        <v>213</v>
      </c>
      <c r="I2" s="319" t="s">
        <v>214</v>
      </c>
      <c r="J2" s="319" t="s">
        <v>215</v>
      </c>
      <c r="K2" s="319" t="s">
        <v>216</v>
      </c>
      <c r="L2" s="319" t="s">
        <v>217</v>
      </c>
      <c r="M2" s="319" t="s">
        <v>218</v>
      </c>
      <c r="N2" s="319" t="s">
        <v>219</v>
      </c>
      <c r="O2" s="319" t="s">
        <v>220</v>
      </c>
      <c r="P2" s="319" t="s">
        <v>221</v>
      </c>
      <c r="Q2" s="319" t="s">
        <v>222</v>
      </c>
      <c r="R2" s="319" t="s">
        <v>223</v>
      </c>
      <c r="S2" s="319" t="s">
        <v>224</v>
      </c>
      <c r="T2" s="319" t="s">
        <v>225</v>
      </c>
      <c r="U2" s="319" t="s">
        <v>226</v>
      </c>
      <c r="V2" s="319" t="s">
        <v>227</v>
      </c>
      <c r="W2" s="319" t="s">
        <v>228</v>
      </c>
      <c r="X2" s="319" t="s">
        <v>229</v>
      </c>
      <c r="Y2" s="319" t="s">
        <v>230</v>
      </c>
      <c r="Z2" s="319" t="s">
        <v>231</v>
      </c>
      <c r="AA2" s="319" t="s">
        <v>232</v>
      </c>
      <c r="AB2" s="319" t="s">
        <v>233</v>
      </c>
      <c r="AC2" s="319" t="s">
        <v>234</v>
      </c>
      <c r="AD2" s="319" t="s">
        <v>235</v>
      </c>
      <c r="AE2" s="319" t="s">
        <v>236</v>
      </c>
      <c r="AF2" s="319" t="s">
        <v>237</v>
      </c>
      <c r="AG2" s="319" t="s">
        <v>238</v>
      </c>
      <c r="AH2" s="319" t="s">
        <v>239</v>
      </c>
      <c r="AI2" s="320" t="s">
        <v>79</v>
      </c>
      <c r="AJ2" s="321" t="s">
        <v>18</v>
      </c>
      <c r="AK2" s="322" t="s">
        <v>77</v>
      </c>
      <c r="AL2" s="323" t="s">
        <v>20</v>
      </c>
      <c r="AM2" s="324" t="s">
        <v>78</v>
      </c>
    </row>
    <row r="3" spans="1:39" ht="20">
      <c r="A3" s="326">
        <v>1</v>
      </c>
      <c r="B3" s="99" t="s">
        <v>35</v>
      </c>
      <c r="C3" s="98" t="s">
        <v>36</v>
      </c>
      <c r="D3" s="103">
        <v>0</v>
      </c>
      <c r="E3" s="103">
        <v>0</v>
      </c>
      <c r="F3" s="103">
        <v>31</v>
      </c>
      <c r="G3" s="103">
        <v>434</v>
      </c>
      <c r="H3" s="103">
        <v>299</v>
      </c>
      <c r="I3" s="103">
        <v>189</v>
      </c>
      <c r="J3" s="103">
        <v>219</v>
      </c>
      <c r="K3" s="103">
        <v>439</v>
      </c>
      <c r="L3" s="103">
        <v>490</v>
      </c>
      <c r="M3" s="103">
        <v>276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28</v>
      </c>
      <c r="U3" s="103">
        <v>255</v>
      </c>
      <c r="V3" s="103">
        <v>486</v>
      </c>
      <c r="W3" s="103">
        <v>185</v>
      </c>
      <c r="X3" s="103">
        <v>171</v>
      </c>
      <c r="Y3" s="103">
        <v>266</v>
      </c>
      <c r="Z3" s="103">
        <v>338</v>
      </c>
      <c r="AA3" s="103">
        <v>276</v>
      </c>
      <c r="AB3" s="103">
        <v>214</v>
      </c>
      <c r="AC3" s="103">
        <v>265</v>
      </c>
      <c r="AD3" s="103">
        <v>36</v>
      </c>
      <c r="AE3" s="103">
        <v>195</v>
      </c>
      <c r="AF3" s="103">
        <v>543</v>
      </c>
      <c r="AG3" s="103">
        <v>172</v>
      </c>
      <c r="AH3" s="103">
        <v>9</v>
      </c>
      <c r="AI3" s="110">
        <f t="shared" ref="AI3:AI23" si="0">AVERAGE(D3:AG3)</f>
        <v>193.56666666666666</v>
      </c>
      <c r="AJ3" s="111">
        <v>10000</v>
      </c>
      <c r="AK3" s="111">
        <f t="shared" ref="AK3:AK23" si="1">SUM(D3:AH3)</f>
        <v>5816</v>
      </c>
      <c r="AL3" s="112">
        <f>AK3/AJ3</f>
        <v>0.58160000000000001</v>
      </c>
      <c r="AM3" s="113">
        <f>AJ3-AK3</f>
        <v>4184</v>
      </c>
    </row>
    <row r="4" spans="1:39" ht="20">
      <c r="A4" s="326">
        <v>2</v>
      </c>
      <c r="B4" s="109" t="s">
        <v>53</v>
      </c>
      <c r="C4" s="98" t="s">
        <v>241</v>
      </c>
      <c r="D4" s="103">
        <v>319</v>
      </c>
      <c r="E4" s="103">
        <v>304</v>
      </c>
      <c r="F4" s="103">
        <v>53</v>
      </c>
      <c r="G4" s="103">
        <v>29</v>
      </c>
      <c r="H4" s="103">
        <v>2</v>
      </c>
      <c r="I4" s="103">
        <v>2</v>
      </c>
      <c r="J4" s="103">
        <v>66</v>
      </c>
      <c r="K4" s="103">
        <v>1</v>
      </c>
      <c r="L4" s="103">
        <v>10</v>
      </c>
      <c r="M4" s="103">
        <v>3</v>
      </c>
      <c r="N4" s="103">
        <v>1</v>
      </c>
      <c r="O4" s="103">
        <v>195</v>
      </c>
      <c r="P4" s="103">
        <v>247</v>
      </c>
      <c r="Q4" s="103">
        <v>232</v>
      </c>
      <c r="R4" s="103">
        <v>1</v>
      </c>
      <c r="S4" s="103">
        <v>399</v>
      </c>
      <c r="T4" s="103">
        <v>289</v>
      </c>
      <c r="U4" s="103">
        <v>0</v>
      </c>
      <c r="V4" s="103">
        <v>12</v>
      </c>
      <c r="W4" s="103">
        <v>195</v>
      </c>
      <c r="X4" s="103">
        <v>242</v>
      </c>
      <c r="Y4" s="103">
        <v>238</v>
      </c>
      <c r="Z4" s="103">
        <v>198</v>
      </c>
      <c r="AA4" s="103">
        <v>490</v>
      </c>
      <c r="AB4" s="103">
        <v>351</v>
      </c>
      <c r="AC4" s="103">
        <v>175</v>
      </c>
      <c r="AD4" s="103">
        <v>586</v>
      </c>
      <c r="AE4" s="103">
        <v>216</v>
      </c>
      <c r="AF4" s="103">
        <v>100</v>
      </c>
      <c r="AG4" s="103">
        <v>0</v>
      </c>
      <c r="AH4" s="103">
        <v>0</v>
      </c>
      <c r="AI4" s="110">
        <f t="shared" si="0"/>
        <v>165.2</v>
      </c>
      <c r="AJ4" s="111">
        <v>10000</v>
      </c>
      <c r="AK4" s="111">
        <f t="shared" si="1"/>
        <v>4956</v>
      </c>
      <c r="AL4" s="112">
        <f>AK4/AJ4</f>
        <v>0.49559999999999998</v>
      </c>
      <c r="AM4" s="113">
        <f>AJ4-AK4</f>
        <v>5044</v>
      </c>
    </row>
    <row r="5" spans="1:39" ht="20">
      <c r="A5" s="326">
        <v>3</v>
      </c>
      <c r="B5" s="200" t="s">
        <v>41</v>
      </c>
      <c r="C5" s="98" t="s">
        <v>42</v>
      </c>
      <c r="D5" s="103">
        <v>3</v>
      </c>
      <c r="E5" s="103">
        <v>283</v>
      </c>
      <c r="F5" s="103">
        <v>2</v>
      </c>
      <c r="G5" s="103">
        <v>1</v>
      </c>
      <c r="H5" s="103">
        <v>2</v>
      </c>
      <c r="I5" s="103">
        <v>1</v>
      </c>
      <c r="J5" s="103">
        <v>1</v>
      </c>
      <c r="K5" s="103">
        <v>1</v>
      </c>
      <c r="L5" s="103">
        <v>1</v>
      </c>
      <c r="M5" s="103">
        <v>13</v>
      </c>
      <c r="N5" s="103">
        <v>6</v>
      </c>
      <c r="O5" s="103">
        <v>233</v>
      </c>
      <c r="P5" s="103">
        <v>55</v>
      </c>
      <c r="Q5" s="103">
        <v>167</v>
      </c>
      <c r="R5" s="103">
        <v>234</v>
      </c>
      <c r="S5" s="103">
        <v>15</v>
      </c>
      <c r="T5" s="103">
        <v>272</v>
      </c>
      <c r="U5" s="103">
        <v>319</v>
      </c>
      <c r="V5" s="103">
        <v>3</v>
      </c>
      <c r="W5" s="103">
        <v>0</v>
      </c>
      <c r="X5" s="103">
        <v>9</v>
      </c>
      <c r="Y5" s="103">
        <v>167</v>
      </c>
      <c r="Z5" s="103">
        <v>243</v>
      </c>
      <c r="AA5" s="103">
        <v>16</v>
      </c>
      <c r="AB5" s="103">
        <v>119</v>
      </c>
      <c r="AC5" s="103">
        <v>224</v>
      </c>
      <c r="AD5" s="103">
        <v>170</v>
      </c>
      <c r="AE5" s="103">
        <v>290</v>
      </c>
      <c r="AF5" s="103">
        <v>1</v>
      </c>
      <c r="AG5" s="103">
        <v>5</v>
      </c>
      <c r="AH5" s="103">
        <v>8</v>
      </c>
      <c r="AI5" s="110">
        <f t="shared" si="0"/>
        <v>95.2</v>
      </c>
      <c r="AJ5" s="111">
        <v>10000</v>
      </c>
      <c r="AK5" s="111">
        <f t="shared" si="1"/>
        <v>2864</v>
      </c>
      <c r="AL5" s="112">
        <v>0.43</v>
      </c>
      <c r="AM5" s="201">
        <v>3334</v>
      </c>
    </row>
    <row r="6" spans="1:39" ht="20">
      <c r="A6" s="326">
        <v>4</v>
      </c>
      <c r="B6" s="99" t="s">
        <v>49</v>
      </c>
      <c r="C6" s="98" t="s">
        <v>50</v>
      </c>
      <c r="D6" s="103">
        <v>7</v>
      </c>
      <c r="E6" s="103">
        <v>84</v>
      </c>
      <c r="F6" s="103">
        <v>269</v>
      </c>
      <c r="G6" s="103">
        <v>2</v>
      </c>
      <c r="H6" s="103">
        <v>272</v>
      </c>
      <c r="I6" s="103">
        <v>204</v>
      </c>
      <c r="J6" s="103">
        <v>1</v>
      </c>
      <c r="K6" s="103">
        <v>208</v>
      </c>
      <c r="L6" s="103">
        <v>10</v>
      </c>
      <c r="M6" s="103">
        <v>4</v>
      </c>
      <c r="N6" s="103">
        <v>1</v>
      </c>
      <c r="O6" s="103">
        <v>197</v>
      </c>
      <c r="P6" s="103">
        <v>207</v>
      </c>
      <c r="Q6" s="103">
        <v>137</v>
      </c>
      <c r="R6" s="103">
        <v>134</v>
      </c>
      <c r="S6" s="103">
        <v>139</v>
      </c>
      <c r="T6" s="103">
        <v>210</v>
      </c>
      <c r="U6" s="103">
        <v>242</v>
      </c>
      <c r="V6" s="103">
        <v>103</v>
      </c>
      <c r="W6" s="103">
        <v>202</v>
      </c>
      <c r="X6" s="103">
        <v>123</v>
      </c>
      <c r="Y6" s="103">
        <v>113</v>
      </c>
      <c r="Z6" s="103">
        <v>92</v>
      </c>
      <c r="AA6" s="103">
        <v>143</v>
      </c>
      <c r="AB6" s="103">
        <v>350</v>
      </c>
      <c r="AC6" s="103">
        <v>260</v>
      </c>
      <c r="AD6" s="103">
        <v>78</v>
      </c>
      <c r="AE6" s="103">
        <v>10</v>
      </c>
      <c r="AF6" s="103">
        <v>1</v>
      </c>
      <c r="AG6" s="103">
        <v>0</v>
      </c>
      <c r="AH6" s="103">
        <v>0</v>
      </c>
      <c r="AI6" s="110">
        <f t="shared" si="0"/>
        <v>126.76666666666667</v>
      </c>
      <c r="AJ6" s="111">
        <v>10000</v>
      </c>
      <c r="AK6" s="111">
        <f t="shared" si="1"/>
        <v>3803</v>
      </c>
      <c r="AL6" s="112">
        <f t="shared" ref="AL6:AL24" si="2">AK6/AJ6</f>
        <v>0.38030000000000003</v>
      </c>
      <c r="AM6" s="113">
        <f t="shared" ref="AM6:AM23" si="3">AJ6-AK6</f>
        <v>6197</v>
      </c>
    </row>
    <row r="7" spans="1:39" ht="20.5" customHeight="1">
      <c r="A7" s="326">
        <v>5</v>
      </c>
      <c r="B7" s="99" t="s">
        <v>60</v>
      </c>
      <c r="C7" s="98" t="s">
        <v>61</v>
      </c>
      <c r="D7" s="103">
        <v>372</v>
      </c>
      <c r="E7" s="103">
        <v>86</v>
      </c>
      <c r="F7" s="103">
        <v>151</v>
      </c>
      <c r="G7" s="103">
        <v>74</v>
      </c>
      <c r="H7" s="103">
        <v>12</v>
      </c>
      <c r="I7" s="103">
        <v>13</v>
      </c>
      <c r="J7" s="103">
        <v>1</v>
      </c>
      <c r="K7" s="103">
        <v>207</v>
      </c>
      <c r="L7" s="103">
        <v>244</v>
      </c>
      <c r="M7" s="103">
        <v>223</v>
      </c>
      <c r="N7" s="103">
        <v>1</v>
      </c>
      <c r="O7" s="103">
        <v>251</v>
      </c>
      <c r="P7" s="103">
        <v>399</v>
      </c>
      <c r="Q7" s="103">
        <v>41</v>
      </c>
      <c r="R7" s="103">
        <v>0</v>
      </c>
      <c r="S7" s="103">
        <v>10</v>
      </c>
      <c r="T7" s="103">
        <v>1</v>
      </c>
      <c r="U7" s="103">
        <v>3</v>
      </c>
      <c r="V7" s="103">
        <v>1</v>
      </c>
      <c r="W7" s="103">
        <v>330</v>
      </c>
      <c r="X7" s="103">
        <v>116</v>
      </c>
      <c r="Y7" s="103">
        <v>117</v>
      </c>
      <c r="Z7" s="103">
        <v>313</v>
      </c>
      <c r="AA7" s="103">
        <v>282</v>
      </c>
      <c r="AB7" s="103">
        <v>210</v>
      </c>
      <c r="AC7" s="103">
        <v>10</v>
      </c>
      <c r="AD7" s="103">
        <v>1</v>
      </c>
      <c r="AE7" s="103">
        <v>1</v>
      </c>
      <c r="AF7" s="103">
        <v>1</v>
      </c>
      <c r="AG7" s="103">
        <v>1</v>
      </c>
      <c r="AH7" s="103">
        <v>1</v>
      </c>
      <c r="AI7" s="110">
        <f t="shared" si="0"/>
        <v>115.73333333333333</v>
      </c>
      <c r="AJ7" s="111">
        <v>10000</v>
      </c>
      <c r="AK7" s="111">
        <f t="shared" si="1"/>
        <v>3473</v>
      </c>
      <c r="AL7" s="112">
        <f t="shared" si="2"/>
        <v>0.3473</v>
      </c>
      <c r="AM7" s="113">
        <f t="shared" si="3"/>
        <v>6527</v>
      </c>
    </row>
    <row r="8" spans="1:39" ht="20">
      <c r="A8" s="326">
        <v>6</v>
      </c>
      <c r="B8" s="99" t="s">
        <v>51</v>
      </c>
      <c r="C8" s="98" t="s">
        <v>165</v>
      </c>
      <c r="D8" s="103">
        <v>351</v>
      </c>
      <c r="E8" s="103">
        <v>165</v>
      </c>
      <c r="F8" s="103">
        <v>1</v>
      </c>
      <c r="G8" s="103">
        <v>11</v>
      </c>
      <c r="H8" s="103">
        <v>4</v>
      </c>
      <c r="I8" s="103">
        <v>1</v>
      </c>
      <c r="J8" s="103">
        <v>159</v>
      </c>
      <c r="K8" s="103">
        <v>284</v>
      </c>
      <c r="L8" s="103">
        <v>227</v>
      </c>
      <c r="M8" s="103">
        <v>53</v>
      </c>
      <c r="N8" s="103">
        <v>0</v>
      </c>
      <c r="O8" s="103">
        <v>4</v>
      </c>
      <c r="P8" s="103">
        <v>251</v>
      </c>
      <c r="Q8" s="103">
        <v>215</v>
      </c>
      <c r="R8" s="103">
        <v>254</v>
      </c>
      <c r="S8" s="103">
        <v>15</v>
      </c>
      <c r="T8" s="103">
        <v>10</v>
      </c>
      <c r="U8" s="103">
        <v>2</v>
      </c>
      <c r="V8" s="103">
        <v>0</v>
      </c>
      <c r="W8" s="103">
        <v>176</v>
      </c>
      <c r="X8" s="103">
        <v>281</v>
      </c>
      <c r="Y8" s="103">
        <v>234</v>
      </c>
      <c r="Z8" s="103">
        <v>218</v>
      </c>
      <c r="AA8" s="103">
        <v>278</v>
      </c>
      <c r="AB8" s="103">
        <v>168</v>
      </c>
      <c r="AC8" s="103">
        <v>11</v>
      </c>
      <c r="AD8" s="103">
        <v>0</v>
      </c>
      <c r="AE8" s="103">
        <v>1</v>
      </c>
      <c r="AF8" s="103">
        <v>0</v>
      </c>
      <c r="AG8" s="103">
        <v>0</v>
      </c>
      <c r="AH8" s="103">
        <v>0</v>
      </c>
      <c r="AI8" s="110">
        <f t="shared" si="0"/>
        <v>112.46666666666667</v>
      </c>
      <c r="AJ8" s="111">
        <v>10000</v>
      </c>
      <c r="AK8" s="111">
        <f t="shared" si="1"/>
        <v>3374</v>
      </c>
      <c r="AL8" s="112">
        <f t="shared" si="2"/>
        <v>0.33739999999999998</v>
      </c>
      <c r="AM8" s="113">
        <f t="shared" si="3"/>
        <v>6626</v>
      </c>
    </row>
    <row r="9" spans="1:39" ht="20">
      <c r="A9" s="326">
        <v>7</v>
      </c>
      <c r="B9" s="115" t="s">
        <v>58</v>
      </c>
      <c r="C9" s="98" t="s">
        <v>59</v>
      </c>
      <c r="D9" s="103">
        <v>257</v>
      </c>
      <c r="E9" s="103">
        <v>151</v>
      </c>
      <c r="F9" s="103">
        <v>255</v>
      </c>
      <c r="G9" s="103">
        <v>86</v>
      </c>
      <c r="H9" s="103">
        <v>0</v>
      </c>
      <c r="I9" s="103">
        <v>0</v>
      </c>
      <c r="J9" s="103">
        <v>0</v>
      </c>
      <c r="K9" s="103">
        <v>0</v>
      </c>
      <c r="L9" s="103">
        <v>10</v>
      </c>
      <c r="M9" s="103">
        <v>4</v>
      </c>
      <c r="N9" s="103">
        <v>1</v>
      </c>
      <c r="O9" s="103">
        <v>199</v>
      </c>
      <c r="P9" s="103">
        <v>204</v>
      </c>
      <c r="Q9" s="103">
        <v>120</v>
      </c>
      <c r="R9" s="103">
        <v>158</v>
      </c>
      <c r="S9" s="103">
        <v>14</v>
      </c>
      <c r="T9" s="103">
        <v>280</v>
      </c>
      <c r="U9" s="103">
        <v>320</v>
      </c>
      <c r="V9" s="103">
        <v>105</v>
      </c>
      <c r="W9" s="103">
        <v>197</v>
      </c>
      <c r="X9" s="103">
        <v>209</v>
      </c>
      <c r="Y9" s="103">
        <v>42</v>
      </c>
      <c r="Z9" s="103">
        <v>225</v>
      </c>
      <c r="AA9" s="103">
        <v>0</v>
      </c>
      <c r="AB9" s="103">
        <v>128</v>
      </c>
      <c r="AC9" s="103">
        <v>297</v>
      </c>
      <c r="AD9" s="103">
        <v>93</v>
      </c>
      <c r="AE9" s="103">
        <v>10</v>
      </c>
      <c r="AF9" s="103">
        <v>1</v>
      </c>
      <c r="AG9" s="103">
        <v>1</v>
      </c>
      <c r="AH9" s="103">
        <v>1</v>
      </c>
      <c r="AI9" s="110">
        <f t="shared" si="0"/>
        <v>112.23333333333333</v>
      </c>
      <c r="AJ9" s="111">
        <v>10000</v>
      </c>
      <c r="AK9" s="111">
        <f t="shared" si="1"/>
        <v>3368</v>
      </c>
      <c r="AL9" s="112">
        <f t="shared" si="2"/>
        <v>0.33679999999999999</v>
      </c>
      <c r="AM9" s="113">
        <f t="shared" si="3"/>
        <v>6632</v>
      </c>
    </row>
    <row r="10" spans="1:39" ht="20">
      <c r="A10" s="326">
        <v>8</v>
      </c>
      <c r="B10" s="99" t="s">
        <v>62</v>
      </c>
      <c r="C10" s="98" t="s">
        <v>63</v>
      </c>
      <c r="D10" s="103">
        <v>2</v>
      </c>
      <c r="E10" s="103">
        <v>1</v>
      </c>
      <c r="F10" s="103">
        <v>214</v>
      </c>
      <c r="G10" s="103">
        <v>377</v>
      </c>
      <c r="H10" s="103">
        <v>1</v>
      </c>
      <c r="I10" s="103">
        <v>1</v>
      </c>
      <c r="J10" s="103">
        <v>0</v>
      </c>
      <c r="K10" s="103">
        <v>0</v>
      </c>
      <c r="L10" s="103">
        <v>10</v>
      </c>
      <c r="M10" s="103">
        <v>3</v>
      </c>
      <c r="N10" s="103">
        <v>1</v>
      </c>
      <c r="O10" s="103">
        <v>163</v>
      </c>
      <c r="P10" s="103">
        <v>149</v>
      </c>
      <c r="Q10" s="103">
        <v>134</v>
      </c>
      <c r="R10" s="103">
        <v>226</v>
      </c>
      <c r="S10" s="103">
        <v>140</v>
      </c>
      <c r="T10" s="103">
        <v>230</v>
      </c>
      <c r="U10" s="103">
        <v>127</v>
      </c>
      <c r="V10" s="103">
        <v>204</v>
      </c>
      <c r="W10" s="103">
        <v>1</v>
      </c>
      <c r="X10" s="103">
        <v>0</v>
      </c>
      <c r="Y10" s="103">
        <v>163</v>
      </c>
      <c r="Z10" s="103">
        <v>239</v>
      </c>
      <c r="AA10" s="103">
        <v>45</v>
      </c>
      <c r="AB10" s="103">
        <v>221</v>
      </c>
      <c r="AC10" s="103">
        <v>140</v>
      </c>
      <c r="AD10" s="103">
        <v>254</v>
      </c>
      <c r="AE10" s="103">
        <v>300</v>
      </c>
      <c r="AF10" s="103">
        <v>0</v>
      </c>
      <c r="AG10" s="103">
        <v>0</v>
      </c>
      <c r="AH10" s="103">
        <v>0</v>
      </c>
      <c r="AI10" s="110">
        <f t="shared" si="0"/>
        <v>111.53333333333333</v>
      </c>
      <c r="AJ10" s="111">
        <v>10000</v>
      </c>
      <c r="AK10" s="111">
        <f t="shared" si="1"/>
        <v>3346</v>
      </c>
      <c r="AL10" s="112">
        <f t="shared" si="2"/>
        <v>0.33460000000000001</v>
      </c>
      <c r="AM10" s="113">
        <f t="shared" si="3"/>
        <v>6654</v>
      </c>
    </row>
    <row r="11" spans="1:39" ht="20">
      <c r="A11" s="326">
        <v>9</v>
      </c>
      <c r="B11" s="200" t="s">
        <v>40</v>
      </c>
      <c r="C11" s="98" t="s">
        <v>160</v>
      </c>
      <c r="D11" s="103">
        <v>46</v>
      </c>
      <c r="E11" s="103">
        <v>319</v>
      </c>
      <c r="F11" s="103">
        <v>0</v>
      </c>
      <c r="G11" s="103">
        <v>10</v>
      </c>
      <c r="H11" s="103">
        <v>3</v>
      </c>
      <c r="I11" s="103">
        <v>0</v>
      </c>
      <c r="J11" s="103">
        <v>178</v>
      </c>
      <c r="K11" s="103">
        <v>138</v>
      </c>
      <c r="L11" s="103">
        <v>132</v>
      </c>
      <c r="M11" s="103">
        <v>224</v>
      </c>
      <c r="N11" s="103">
        <v>0</v>
      </c>
      <c r="O11" s="103">
        <v>60</v>
      </c>
      <c r="P11" s="103">
        <v>0</v>
      </c>
      <c r="Q11" s="103">
        <v>0</v>
      </c>
      <c r="R11" s="103">
        <v>0</v>
      </c>
      <c r="S11" s="103">
        <v>37</v>
      </c>
      <c r="T11" s="103">
        <v>293</v>
      </c>
      <c r="U11" s="103">
        <v>149</v>
      </c>
      <c r="V11" s="103">
        <v>266</v>
      </c>
      <c r="W11" s="103">
        <v>78</v>
      </c>
      <c r="X11" s="103">
        <v>0</v>
      </c>
      <c r="Y11" s="103">
        <v>14</v>
      </c>
      <c r="Z11" s="103">
        <v>227</v>
      </c>
      <c r="AA11" s="103">
        <v>186</v>
      </c>
      <c r="AB11" s="103">
        <v>116</v>
      </c>
      <c r="AC11" s="103">
        <v>285</v>
      </c>
      <c r="AD11" s="103">
        <v>454</v>
      </c>
      <c r="AE11" s="103">
        <v>78</v>
      </c>
      <c r="AF11" s="103">
        <v>0</v>
      </c>
      <c r="AG11" s="103">
        <v>0</v>
      </c>
      <c r="AH11" s="103">
        <v>0</v>
      </c>
      <c r="AI11" s="110">
        <f t="shared" si="0"/>
        <v>109.76666666666667</v>
      </c>
      <c r="AJ11" s="111">
        <v>10000</v>
      </c>
      <c r="AK11" s="111">
        <f t="shared" si="1"/>
        <v>3293</v>
      </c>
      <c r="AL11" s="112">
        <f t="shared" si="2"/>
        <v>0.32929999999999998</v>
      </c>
      <c r="AM11" s="201">
        <f t="shared" si="3"/>
        <v>6707</v>
      </c>
    </row>
    <row r="12" spans="1:39" ht="20">
      <c r="A12" s="326">
        <v>10</v>
      </c>
      <c r="B12" s="99" t="s">
        <v>47</v>
      </c>
      <c r="C12" s="98" t="s">
        <v>48</v>
      </c>
      <c r="D12" s="103">
        <v>0</v>
      </c>
      <c r="E12" s="103">
        <v>310</v>
      </c>
      <c r="F12" s="103">
        <v>0</v>
      </c>
      <c r="G12" s="103">
        <v>10</v>
      </c>
      <c r="H12" s="103">
        <v>3</v>
      </c>
      <c r="I12" s="103">
        <v>1</v>
      </c>
      <c r="J12" s="103">
        <v>306</v>
      </c>
      <c r="K12" s="103">
        <v>0</v>
      </c>
      <c r="L12" s="103">
        <v>146</v>
      </c>
      <c r="M12" s="103">
        <v>302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192</v>
      </c>
      <c r="T12" s="103">
        <v>238</v>
      </c>
      <c r="U12" s="103">
        <v>291</v>
      </c>
      <c r="V12" s="103">
        <v>27</v>
      </c>
      <c r="W12" s="103">
        <v>0</v>
      </c>
      <c r="X12" s="103">
        <v>0</v>
      </c>
      <c r="Y12" s="103">
        <v>12</v>
      </c>
      <c r="Z12" s="103">
        <v>276</v>
      </c>
      <c r="AA12" s="103">
        <v>163</v>
      </c>
      <c r="AB12" s="103">
        <v>229</v>
      </c>
      <c r="AC12" s="103">
        <v>141</v>
      </c>
      <c r="AD12" s="103">
        <v>236</v>
      </c>
      <c r="AE12" s="103">
        <v>318</v>
      </c>
      <c r="AF12" s="103">
        <v>0</v>
      </c>
      <c r="AG12" s="103">
        <v>0</v>
      </c>
      <c r="AH12" s="103">
        <v>0</v>
      </c>
      <c r="AI12" s="110">
        <f t="shared" si="0"/>
        <v>106.7</v>
      </c>
      <c r="AJ12" s="111">
        <v>10000</v>
      </c>
      <c r="AK12" s="111">
        <f t="shared" si="1"/>
        <v>3201</v>
      </c>
      <c r="AL12" s="112">
        <f t="shared" si="2"/>
        <v>0.3201</v>
      </c>
      <c r="AM12" s="113">
        <f t="shared" si="3"/>
        <v>6799</v>
      </c>
    </row>
    <row r="13" spans="1:39" ht="20">
      <c r="A13" s="326">
        <v>11</v>
      </c>
      <c r="B13" s="99" t="s">
        <v>38</v>
      </c>
      <c r="C13" s="98" t="s">
        <v>39</v>
      </c>
      <c r="D13" s="103">
        <v>0</v>
      </c>
      <c r="E13" s="103">
        <v>95</v>
      </c>
      <c r="F13" s="103">
        <v>0</v>
      </c>
      <c r="G13" s="103">
        <v>224</v>
      </c>
      <c r="H13" s="103">
        <v>0</v>
      </c>
      <c r="I13" s="103">
        <v>12</v>
      </c>
      <c r="J13" s="103">
        <v>0</v>
      </c>
      <c r="K13" s="103">
        <v>209</v>
      </c>
      <c r="L13" s="103">
        <v>203</v>
      </c>
      <c r="M13" s="103">
        <v>139</v>
      </c>
      <c r="N13" s="103">
        <v>144</v>
      </c>
      <c r="O13" s="103">
        <v>145</v>
      </c>
      <c r="P13" s="103">
        <v>253</v>
      </c>
      <c r="Q13" s="103">
        <v>214</v>
      </c>
      <c r="R13" s="103">
        <v>92</v>
      </c>
      <c r="S13" s="103">
        <v>10</v>
      </c>
      <c r="T13" s="103">
        <v>0</v>
      </c>
      <c r="U13" s="103">
        <v>0</v>
      </c>
      <c r="V13" s="103">
        <v>2</v>
      </c>
      <c r="W13" s="103">
        <v>228</v>
      </c>
      <c r="X13" s="103">
        <v>90</v>
      </c>
      <c r="Y13" s="103">
        <v>147</v>
      </c>
      <c r="Z13" s="103">
        <v>6</v>
      </c>
      <c r="AA13" s="103">
        <v>0</v>
      </c>
      <c r="AB13" s="103">
        <v>0</v>
      </c>
      <c r="AC13" s="103">
        <v>228</v>
      </c>
      <c r="AD13" s="103">
        <v>0</v>
      </c>
      <c r="AE13" s="103">
        <v>224</v>
      </c>
      <c r="AF13" s="103">
        <v>155</v>
      </c>
      <c r="AG13" s="103">
        <v>98</v>
      </c>
      <c r="AH13" s="103">
        <v>211</v>
      </c>
      <c r="AI13" s="110">
        <f t="shared" si="0"/>
        <v>97.266666666666666</v>
      </c>
      <c r="AJ13" s="111">
        <v>10000</v>
      </c>
      <c r="AK13" s="111">
        <f t="shared" si="1"/>
        <v>3129</v>
      </c>
      <c r="AL13" s="112">
        <f t="shared" si="2"/>
        <v>0.31290000000000001</v>
      </c>
      <c r="AM13" s="113">
        <f t="shared" si="3"/>
        <v>6871</v>
      </c>
    </row>
    <row r="14" spans="1:39" ht="20">
      <c r="A14" s="326">
        <v>12</v>
      </c>
      <c r="B14" s="99" t="s">
        <v>33</v>
      </c>
      <c r="C14" s="98" t="s">
        <v>34</v>
      </c>
      <c r="D14" s="103">
        <v>0</v>
      </c>
      <c r="E14" s="103">
        <v>227</v>
      </c>
      <c r="F14" s="103">
        <v>91</v>
      </c>
      <c r="G14" s="103">
        <v>0</v>
      </c>
      <c r="H14" s="103">
        <v>0</v>
      </c>
      <c r="I14" s="103">
        <v>213</v>
      </c>
      <c r="J14" s="103">
        <v>225</v>
      </c>
      <c r="K14" s="103">
        <v>40</v>
      </c>
      <c r="L14" s="103">
        <v>0</v>
      </c>
      <c r="M14" s="103">
        <v>26</v>
      </c>
      <c r="N14" s="103">
        <v>2</v>
      </c>
      <c r="O14" s="103">
        <v>26</v>
      </c>
      <c r="P14" s="103">
        <v>0</v>
      </c>
      <c r="Q14" s="103">
        <v>0</v>
      </c>
      <c r="R14" s="103">
        <v>0</v>
      </c>
      <c r="S14" s="103">
        <v>0</v>
      </c>
      <c r="T14" s="103">
        <v>53</v>
      </c>
      <c r="U14" s="103">
        <v>25</v>
      </c>
      <c r="V14" s="103">
        <v>60</v>
      </c>
      <c r="W14" s="103">
        <v>659</v>
      </c>
      <c r="X14" s="103">
        <v>234</v>
      </c>
      <c r="Y14" s="103">
        <v>20</v>
      </c>
      <c r="Z14" s="103">
        <v>4</v>
      </c>
      <c r="AA14" s="103">
        <v>0</v>
      </c>
      <c r="AB14" s="103">
        <v>15</v>
      </c>
      <c r="AC14" s="103">
        <v>7</v>
      </c>
      <c r="AD14" s="103">
        <v>13</v>
      </c>
      <c r="AE14" s="103">
        <v>119</v>
      </c>
      <c r="AF14" s="103">
        <v>341</v>
      </c>
      <c r="AG14" s="103">
        <v>213</v>
      </c>
      <c r="AH14" s="103">
        <v>295</v>
      </c>
      <c r="AI14" s="110">
        <f t="shared" si="0"/>
        <v>87.1</v>
      </c>
      <c r="AJ14" s="111">
        <v>10000</v>
      </c>
      <c r="AK14" s="111">
        <f t="shared" si="1"/>
        <v>2908</v>
      </c>
      <c r="AL14" s="112">
        <f t="shared" si="2"/>
        <v>0.2908</v>
      </c>
      <c r="AM14" s="113">
        <f t="shared" si="3"/>
        <v>7092</v>
      </c>
    </row>
    <row r="15" spans="1:39" ht="20">
      <c r="A15" s="326">
        <v>13</v>
      </c>
      <c r="B15" s="99" t="s">
        <v>55</v>
      </c>
      <c r="C15" s="98" t="s">
        <v>68</v>
      </c>
      <c r="D15" s="103">
        <v>44</v>
      </c>
      <c r="E15" s="103">
        <v>195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50</v>
      </c>
      <c r="L15" s="103">
        <v>270</v>
      </c>
      <c r="M15" s="103">
        <v>53</v>
      </c>
      <c r="N15" s="103">
        <v>1</v>
      </c>
      <c r="O15" s="103">
        <v>0</v>
      </c>
      <c r="P15" s="103">
        <v>1</v>
      </c>
      <c r="Q15" s="103">
        <v>1</v>
      </c>
      <c r="R15" s="103">
        <v>1</v>
      </c>
      <c r="S15" s="103">
        <v>39</v>
      </c>
      <c r="T15" s="103">
        <v>292</v>
      </c>
      <c r="U15" s="103">
        <v>218</v>
      </c>
      <c r="V15" s="103">
        <v>203</v>
      </c>
      <c r="W15" s="103">
        <v>78</v>
      </c>
      <c r="X15" s="103">
        <v>0</v>
      </c>
      <c r="Y15" s="103">
        <v>14</v>
      </c>
      <c r="Z15" s="103">
        <v>253</v>
      </c>
      <c r="AA15" s="103">
        <v>162</v>
      </c>
      <c r="AB15" s="103">
        <v>116</v>
      </c>
      <c r="AC15" s="103">
        <v>284</v>
      </c>
      <c r="AD15" s="103">
        <v>297</v>
      </c>
      <c r="AE15" s="103">
        <v>267</v>
      </c>
      <c r="AF15" s="103">
        <v>0</v>
      </c>
      <c r="AG15" s="103">
        <v>0</v>
      </c>
      <c r="AH15" s="103">
        <v>0</v>
      </c>
      <c r="AI15" s="110">
        <f t="shared" si="0"/>
        <v>94.63333333333334</v>
      </c>
      <c r="AJ15" s="111">
        <v>10000</v>
      </c>
      <c r="AK15" s="111">
        <f t="shared" si="1"/>
        <v>2839</v>
      </c>
      <c r="AL15" s="112">
        <f t="shared" si="2"/>
        <v>0.28389999999999999</v>
      </c>
      <c r="AM15" s="113">
        <f t="shared" si="3"/>
        <v>7161</v>
      </c>
    </row>
    <row r="16" spans="1:39" ht="20">
      <c r="A16" s="326">
        <v>14</v>
      </c>
      <c r="B16" s="99" t="s">
        <v>64</v>
      </c>
      <c r="C16" s="98" t="s">
        <v>242</v>
      </c>
      <c r="D16" s="103">
        <v>11</v>
      </c>
      <c r="E16" s="103">
        <v>12</v>
      </c>
      <c r="F16" s="103">
        <v>5</v>
      </c>
      <c r="G16" s="103">
        <v>25</v>
      </c>
      <c r="H16" s="103">
        <v>0</v>
      </c>
      <c r="I16" s="103">
        <v>136</v>
      </c>
      <c r="J16" s="103">
        <v>180</v>
      </c>
      <c r="K16" s="103">
        <v>125</v>
      </c>
      <c r="L16" s="103">
        <v>214</v>
      </c>
      <c r="M16" s="103">
        <v>19</v>
      </c>
      <c r="N16" s="103">
        <v>13</v>
      </c>
      <c r="O16" s="103">
        <v>225</v>
      </c>
      <c r="P16" s="103">
        <v>444</v>
      </c>
      <c r="Q16" s="103">
        <v>33</v>
      </c>
      <c r="R16" s="103">
        <v>1</v>
      </c>
      <c r="S16" s="103">
        <v>10</v>
      </c>
      <c r="T16" s="103">
        <v>0</v>
      </c>
      <c r="U16" s="103">
        <v>5</v>
      </c>
      <c r="V16" s="103">
        <v>4</v>
      </c>
      <c r="W16" s="103">
        <v>391</v>
      </c>
      <c r="X16" s="103">
        <v>57</v>
      </c>
      <c r="Y16" s="103">
        <v>230</v>
      </c>
      <c r="Z16" s="103">
        <v>199</v>
      </c>
      <c r="AA16" s="103">
        <v>481</v>
      </c>
      <c r="AB16" s="103">
        <v>0</v>
      </c>
      <c r="AC16" s="103">
        <v>0</v>
      </c>
      <c r="AD16" s="103">
        <v>0</v>
      </c>
      <c r="AE16" s="103">
        <v>0</v>
      </c>
      <c r="AF16" s="103">
        <v>0</v>
      </c>
      <c r="AG16" s="103">
        <v>0</v>
      </c>
      <c r="AH16" s="103">
        <v>0</v>
      </c>
      <c r="AI16" s="110">
        <f t="shared" si="0"/>
        <v>94</v>
      </c>
      <c r="AJ16" s="111">
        <v>10000</v>
      </c>
      <c r="AK16" s="111">
        <f t="shared" si="1"/>
        <v>2820</v>
      </c>
      <c r="AL16" s="112">
        <f t="shared" si="2"/>
        <v>0.28199999999999997</v>
      </c>
      <c r="AM16" s="113">
        <f t="shared" si="3"/>
        <v>7180</v>
      </c>
    </row>
    <row r="17" spans="1:39" ht="20">
      <c r="A17" s="326">
        <v>15</v>
      </c>
      <c r="B17" s="99" t="s">
        <v>45</v>
      </c>
      <c r="C17" s="98" t="s">
        <v>46</v>
      </c>
      <c r="D17" s="103">
        <v>0</v>
      </c>
      <c r="E17" s="103">
        <v>0</v>
      </c>
      <c r="F17" s="103">
        <v>0</v>
      </c>
      <c r="G17" s="103">
        <v>0</v>
      </c>
      <c r="H17" s="103">
        <v>0</v>
      </c>
      <c r="I17" s="103">
        <v>0</v>
      </c>
      <c r="J17" s="103">
        <v>0</v>
      </c>
      <c r="K17" s="103">
        <v>81</v>
      </c>
      <c r="L17" s="103">
        <v>1</v>
      </c>
      <c r="M17" s="103">
        <v>123</v>
      </c>
      <c r="N17" s="103">
        <v>95</v>
      </c>
      <c r="O17" s="103">
        <v>135</v>
      </c>
      <c r="P17" s="103">
        <v>196</v>
      </c>
      <c r="Q17" s="103">
        <v>56</v>
      </c>
      <c r="R17" s="103">
        <v>14</v>
      </c>
      <c r="S17" s="103">
        <v>144</v>
      </c>
      <c r="T17" s="103">
        <v>58</v>
      </c>
      <c r="U17" s="103">
        <v>4</v>
      </c>
      <c r="V17" s="103">
        <v>111</v>
      </c>
      <c r="W17" s="103">
        <v>68</v>
      </c>
      <c r="X17" s="103">
        <v>309</v>
      </c>
      <c r="Y17" s="103">
        <v>11</v>
      </c>
      <c r="Z17" s="103">
        <v>70</v>
      </c>
      <c r="AA17" s="103">
        <v>232</v>
      </c>
      <c r="AB17" s="103">
        <v>143</v>
      </c>
      <c r="AC17" s="103">
        <v>371</v>
      </c>
      <c r="AD17" s="103">
        <v>241</v>
      </c>
      <c r="AE17" s="103">
        <v>234</v>
      </c>
      <c r="AF17" s="103">
        <v>0</v>
      </c>
      <c r="AG17" s="103">
        <v>0</v>
      </c>
      <c r="AH17" s="103">
        <v>0</v>
      </c>
      <c r="AI17" s="110">
        <f t="shared" si="0"/>
        <v>89.9</v>
      </c>
      <c r="AJ17" s="111">
        <v>10000</v>
      </c>
      <c r="AK17" s="111">
        <f t="shared" si="1"/>
        <v>2697</v>
      </c>
      <c r="AL17" s="112">
        <f t="shared" si="2"/>
        <v>0.2697</v>
      </c>
      <c r="AM17" s="113">
        <f t="shared" si="3"/>
        <v>7303</v>
      </c>
    </row>
    <row r="18" spans="1:39" ht="20">
      <c r="A18" s="326">
        <v>16</v>
      </c>
      <c r="B18" s="99" t="s">
        <v>43</v>
      </c>
      <c r="C18" s="98" t="s">
        <v>164</v>
      </c>
      <c r="D18" s="103">
        <v>0</v>
      </c>
      <c r="E18" s="103">
        <v>0</v>
      </c>
      <c r="F18" s="103">
        <v>0</v>
      </c>
      <c r="G18" s="103">
        <v>0</v>
      </c>
      <c r="H18" s="103">
        <v>0</v>
      </c>
      <c r="I18" s="103">
        <v>0</v>
      </c>
      <c r="J18" s="103">
        <v>0</v>
      </c>
      <c r="K18" s="103">
        <v>196</v>
      </c>
      <c r="L18" s="103">
        <v>219</v>
      </c>
      <c r="M18" s="103">
        <v>127</v>
      </c>
      <c r="N18" s="103">
        <v>140</v>
      </c>
      <c r="O18" s="103">
        <v>14</v>
      </c>
      <c r="P18" s="103">
        <v>2</v>
      </c>
      <c r="Q18" s="103">
        <v>277</v>
      </c>
      <c r="R18" s="103">
        <v>408</v>
      </c>
      <c r="S18" s="103">
        <v>10</v>
      </c>
      <c r="T18" s="103">
        <v>0</v>
      </c>
      <c r="U18" s="103">
        <v>3</v>
      </c>
      <c r="V18" s="103">
        <v>0</v>
      </c>
      <c r="W18" s="103">
        <v>217</v>
      </c>
      <c r="X18" s="103">
        <v>210</v>
      </c>
      <c r="Y18" s="103">
        <v>43</v>
      </c>
      <c r="Z18" s="103">
        <v>114</v>
      </c>
      <c r="AA18" s="103">
        <v>0</v>
      </c>
      <c r="AB18" s="103">
        <v>78</v>
      </c>
      <c r="AC18" s="103">
        <v>339</v>
      </c>
      <c r="AD18" s="103">
        <v>78</v>
      </c>
      <c r="AE18" s="103">
        <v>10</v>
      </c>
      <c r="AF18" s="103">
        <v>1</v>
      </c>
      <c r="AG18" s="103">
        <v>1</v>
      </c>
      <c r="AH18" s="103">
        <v>1</v>
      </c>
      <c r="AI18" s="110">
        <f t="shared" si="0"/>
        <v>82.9</v>
      </c>
      <c r="AJ18" s="111">
        <v>10000</v>
      </c>
      <c r="AK18" s="111">
        <f t="shared" si="1"/>
        <v>2488</v>
      </c>
      <c r="AL18" s="112">
        <f t="shared" si="2"/>
        <v>0.24879999999999999</v>
      </c>
      <c r="AM18" s="113">
        <f t="shared" si="3"/>
        <v>7512</v>
      </c>
    </row>
    <row r="19" spans="1:39" ht="20">
      <c r="A19" s="326">
        <v>18</v>
      </c>
      <c r="B19" s="99" t="s">
        <v>37</v>
      </c>
      <c r="C19" s="98" t="s">
        <v>73</v>
      </c>
      <c r="D19" s="103">
        <v>0</v>
      </c>
      <c r="E19" s="103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1</v>
      </c>
      <c r="M19" s="103">
        <v>0</v>
      </c>
      <c r="N19" s="103">
        <v>1</v>
      </c>
      <c r="O19" s="103">
        <v>0</v>
      </c>
      <c r="P19" s="103">
        <v>131</v>
      </c>
      <c r="Q19" s="103">
        <v>5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  <c r="AA19" s="103">
        <v>0</v>
      </c>
      <c r="AB19" s="103">
        <v>0</v>
      </c>
      <c r="AC19" s="103">
        <v>0</v>
      </c>
      <c r="AD19" s="103">
        <v>0</v>
      </c>
      <c r="AE19" s="103">
        <v>0</v>
      </c>
      <c r="AF19" s="103">
        <v>0</v>
      </c>
      <c r="AG19" s="103">
        <v>0</v>
      </c>
      <c r="AH19" s="103">
        <v>0</v>
      </c>
      <c r="AI19" s="110">
        <f t="shared" si="0"/>
        <v>4.5999999999999996</v>
      </c>
      <c r="AJ19" s="111">
        <v>10000</v>
      </c>
      <c r="AK19" s="111">
        <f t="shared" si="1"/>
        <v>138</v>
      </c>
      <c r="AL19" s="112">
        <f t="shared" si="2"/>
        <v>1.38E-2</v>
      </c>
      <c r="AM19" s="113">
        <f t="shared" si="3"/>
        <v>9862</v>
      </c>
    </row>
    <row r="20" spans="1:39" ht="20">
      <c r="A20" s="326">
        <v>19</v>
      </c>
      <c r="B20" s="109" t="s">
        <v>26</v>
      </c>
      <c r="C20" s="98"/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  <c r="AA20" s="103">
        <v>0</v>
      </c>
      <c r="AB20" s="103">
        <v>0</v>
      </c>
      <c r="AC20" s="103">
        <v>0</v>
      </c>
      <c r="AD20" s="103">
        <v>0</v>
      </c>
      <c r="AE20" s="103">
        <v>0</v>
      </c>
      <c r="AF20" s="103">
        <v>0</v>
      </c>
      <c r="AG20" s="103">
        <v>0</v>
      </c>
      <c r="AH20" s="103">
        <v>0</v>
      </c>
      <c r="AI20" s="110">
        <f t="shared" si="0"/>
        <v>0</v>
      </c>
      <c r="AJ20" s="111">
        <v>10000</v>
      </c>
      <c r="AK20" s="111">
        <f t="shared" si="1"/>
        <v>0</v>
      </c>
      <c r="AL20" s="112">
        <f t="shared" si="2"/>
        <v>0</v>
      </c>
      <c r="AM20" s="113">
        <f t="shared" si="3"/>
        <v>10000</v>
      </c>
    </row>
    <row r="21" spans="1:39" ht="20">
      <c r="A21" s="326">
        <v>20</v>
      </c>
      <c r="B21" s="109" t="s">
        <v>30</v>
      </c>
      <c r="C21" s="98"/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  <c r="AA21" s="103">
        <v>0</v>
      </c>
      <c r="AB21" s="103">
        <v>0</v>
      </c>
      <c r="AC21" s="103">
        <v>0</v>
      </c>
      <c r="AD21" s="103">
        <v>0</v>
      </c>
      <c r="AE21" s="103">
        <v>0</v>
      </c>
      <c r="AF21" s="103">
        <v>0</v>
      </c>
      <c r="AG21" s="103">
        <v>0</v>
      </c>
      <c r="AH21" s="103">
        <v>0</v>
      </c>
      <c r="AI21" s="110">
        <f t="shared" si="0"/>
        <v>0</v>
      </c>
      <c r="AJ21" s="111">
        <v>10000</v>
      </c>
      <c r="AK21" s="111">
        <f t="shared" si="1"/>
        <v>0</v>
      </c>
      <c r="AL21" s="112">
        <f t="shared" si="2"/>
        <v>0</v>
      </c>
      <c r="AM21" s="113">
        <f t="shared" si="3"/>
        <v>10000</v>
      </c>
    </row>
    <row r="22" spans="1:39" ht="20">
      <c r="A22" s="326">
        <v>21</v>
      </c>
      <c r="B22" s="337" t="s">
        <v>32</v>
      </c>
      <c r="C22" s="334"/>
      <c r="D22" s="335">
        <v>0</v>
      </c>
      <c r="E22" s="335">
        <v>0</v>
      </c>
      <c r="F22" s="335">
        <v>0</v>
      </c>
      <c r="G22" s="335">
        <v>0</v>
      </c>
      <c r="H22" s="335">
        <v>0</v>
      </c>
      <c r="I22" s="335">
        <v>0</v>
      </c>
      <c r="J22" s="335">
        <v>0</v>
      </c>
      <c r="K22" s="335">
        <v>0</v>
      </c>
      <c r="L22" s="335">
        <v>0</v>
      </c>
      <c r="M22" s="335">
        <v>0</v>
      </c>
      <c r="N22" s="335">
        <v>0</v>
      </c>
      <c r="O22" s="335">
        <v>0</v>
      </c>
      <c r="P22" s="335">
        <v>0</v>
      </c>
      <c r="Q22" s="335">
        <v>0</v>
      </c>
      <c r="R22" s="335">
        <v>0</v>
      </c>
      <c r="S22" s="335">
        <v>0</v>
      </c>
      <c r="T22" s="335">
        <v>0</v>
      </c>
      <c r="U22" s="335">
        <v>0</v>
      </c>
      <c r="V22" s="335">
        <v>0</v>
      </c>
      <c r="W22" s="335">
        <v>0</v>
      </c>
      <c r="X22" s="335">
        <v>0</v>
      </c>
      <c r="Y22" s="335">
        <v>0</v>
      </c>
      <c r="Z22" s="335">
        <v>0</v>
      </c>
      <c r="AA22" s="335">
        <v>0</v>
      </c>
      <c r="AB22" s="335">
        <v>0</v>
      </c>
      <c r="AC22" s="335">
        <v>0</v>
      </c>
      <c r="AD22" s="335">
        <v>0</v>
      </c>
      <c r="AE22" s="335">
        <v>0</v>
      </c>
      <c r="AF22" s="335">
        <v>0</v>
      </c>
      <c r="AG22" s="335">
        <v>0</v>
      </c>
      <c r="AH22" s="335">
        <v>0</v>
      </c>
      <c r="AI22" s="233">
        <f t="shared" si="0"/>
        <v>0</v>
      </c>
      <c r="AJ22" s="325">
        <v>10000</v>
      </c>
      <c r="AK22" s="111">
        <f t="shared" si="1"/>
        <v>0</v>
      </c>
      <c r="AL22" s="234">
        <f t="shared" si="2"/>
        <v>0</v>
      </c>
      <c r="AM22" s="235">
        <f t="shared" si="3"/>
        <v>10000</v>
      </c>
    </row>
    <row r="23" spans="1:39" ht="20">
      <c r="A23" s="326">
        <v>17</v>
      </c>
      <c r="B23" s="114" t="s">
        <v>56</v>
      </c>
      <c r="C23" s="102" t="s">
        <v>57</v>
      </c>
      <c r="D23" s="104"/>
      <c r="E23" s="104"/>
      <c r="F23" s="105"/>
      <c r="G23" s="105"/>
      <c r="H23" s="105"/>
      <c r="I23" s="104"/>
      <c r="J23" s="104"/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10" t="e">
        <f t="shared" si="0"/>
        <v>#DIV/0!</v>
      </c>
      <c r="AJ23" s="111">
        <v>10000</v>
      </c>
      <c r="AK23" s="111">
        <f t="shared" si="1"/>
        <v>0</v>
      </c>
      <c r="AL23" s="112">
        <f t="shared" si="2"/>
        <v>0</v>
      </c>
      <c r="AM23" s="113">
        <f t="shared" si="3"/>
        <v>10000</v>
      </c>
    </row>
    <row r="24" spans="1:39" s="116" customFormat="1" ht="28.5" customHeight="1">
      <c r="C24" s="124" t="s">
        <v>70</v>
      </c>
      <c r="D24" s="118">
        <f t="shared" ref="D24:R24" si="4">SUM(D6:D21)</f>
        <v>1090</v>
      </c>
      <c r="E24" s="118">
        <f t="shared" si="4"/>
        <v>1645</v>
      </c>
      <c r="F24" s="118">
        <f t="shared" si="4"/>
        <v>986</v>
      </c>
      <c r="G24" s="118">
        <f t="shared" si="4"/>
        <v>819</v>
      </c>
      <c r="H24" s="118">
        <f t="shared" si="4"/>
        <v>295</v>
      </c>
      <c r="I24" s="118">
        <f t="shared" si="4"/>
        <v>581</v>
      </c>
      <c r="J24" s="118">
        <f t="shared" si="4"/>
        <v>1050</v>
      </c>
      <c r="K24" s="118">
        <f t="shared" si="4"/>
        <v>1538</v>
      </c>
      <c r="L24" s="118">
        <f t="shared" si="4"/>
        <v>1687</v>
      </c>
      <c r="M24" s="118">
        <f t="shared" si="4"/>
        <v>1300</v>
      </c>
      <c r="N24" s="118">
        <f t="shared" si="4"/>
        <v>400</v>
      </c>
      <c r="O24" s="118">
        <f t="shared" si="4"/>
        <v>1419</v>
      </c>
      <c r="P24" s="118">
        <f t="shared" si="4"/>
        <v>2237</v>
      </c>
      <c r="Q24" s="118">
        <f t="shared" si="4"/>
        <v>1233</v>
      </c>
      <c r="R24" s="118">
        <f t="shared" si="4"/>
        <v>1288</v>
      </c>
      <c r="S24" s="118">
        <f>SUM(R6:R21)</f>
        <v>1288</v>
      </c>
      <c r="T24" s="118">
        <f>SUM(S6:S21)</f>
        <v>760</v>
      </c>
      <c r="U24" s="118">
        <f>SUM(U6:U21)</f>
        <v>1389</v>
      </c>
      <c r="V24" s="118">
        <f>SUM(V6:V21)</f>
        <v>1086</v>
      </c>
      <c r="W24" s="118">
        <f>SUM(W6:W21)</f>
        <v>2625</v>
      </c>
      <c r="X24" s="118">
        <f>SUM(X6:X21)</f>
        <v>1629</v>
      </c>
      <c r="Y24" s="118">
        <f>SUM(Y6:Y21)</f>
        <v>1160</v>
      </c>
      <c r="Z24" s="118">
        <f>SUM(Z6:Z20)</f>
        <v>2236</v>
      </c>
      <c r="AA24" s="118">
        <f t="shared" ref="AA24:AH24" si="5">SUM(AA6:AA21)</f>
        <v>1972</v>
      </c>
      <c r="AB24" s="118">
        <f t="shared" si="5"/>
        <v>1774</v>
      </c>
      <c r="AC24" s="118">
        <f t="shared" si="5"/>
        <v>2373</v>
      </c>
      <c r="AD24" s="118">
        <f t="shared" si="5"/>
        <v>1745</v>
      </c>
      <c r="AE24" s="118">
        <f t="shared" si="5"/>
        <v>1572</v>
      </c>
      <c r="AF24" s="118">
        <f t="shared" si="5"/>
        <v>500</v>
      </c>
      <c r="AG24" s="118">
        <f t="shared" si="5"/>
        <v>314</v>
      </c>
      <c r="AH24" s="118">
        <f t="shared" si="5"/>
        <v>509</v>
      </c>
      <c r="AI24" s="119" t="s">
        <v>66</v>
      </c>
      <c r="AJ24" s="121">
        <f>SUM(AJ6:AJ22)</f>
        <v>170000</v>
      </c>
      <c r="AK24" s="121">
        <f>SUM(AK3:AK23)</f>
        <v>54513</v>
      </c>
      <c r="AL24" s="122">
        <f t="shared" si="2"/>
        <v>0.32066470588235296</v>
      </c>
      <c r="AM24" s="119"/>
    </row>
    <row r="25" spans="1:39" s="116" customFormat="1" ht="28.5" customHeight="1">
      <c r="C25" s="124" t="s">
        <v>83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7">
        <v>3150</v>
      </c>
      <c r="AI25" s="331" t="s">
        <v>87</v>
      </c>
      <c r="AJ25" s="327">
        <f>AVERAGE(AJ6:AJ21)</f>
        <v>10000</v>
      </c>
      <c r="AK25" s="327">
        <f>AVERAGE(AK6:AK21)</f>
        <v>2554.8125</v>
      </c>
    </row>
    <row r="26" spans="1:39" s="116" customFormat="1" ht="15">
      <c r="C26" s="124" t="s">
        <v>72</v>
      </c>
      <c r="D26" s="123">
        <f>D27/D28</f>
        <v>0.15138888888888888</v>
      </c>
      <c r="E26" s="123">
        <f t="shared" ref="E26:AH26" si="6">E27/E28</f>
        <v>0.22847222222222222</v>
      </c>
      <c r="F26" s="123">
        <f t="shared" si="6"/>
        <v>0.13694444444444445</v>
      </c>
      <c r="G26" s="123">
        <f t="shared" si="6"/>
        <v>0.11375</v>
      </c>
      <c r="H26" s="123">
        <f>H27/H28</f>
        <v>4.0972222222222222E-2</v>
      </c>
      <c r="I26" s="123">
        <f t="shared" si="6"/>
        <v>8.0694444444444444E-2</v>
      </c>
      <c r="J26" s="123">
        <f t="shared" si="6"/>
        <v>0.14583333333333334</v>
      </c>
      <c r="K26" s="123">
        <f t="shared" si="6"/>
        <v>0.21361111111111111</v>
      </c>
      <c r="L26" s="123">
        <f t="shared" si="6"/>
        <v>0.23430555555555554</v>
      </c>
      <c r="M26" s="123">
        <f t="shared" si="6"/>
        <v>0.18055555555555555</v>
      </c>
      <c r="N26" s="123">
        <f t="shared" si="6"/>
        <v>5.5555555555555552E-2</v>
      </c>
      <c r="O26" s="123">
        <f t="shared" si="6"/>
        <v>0.19708333333333333</v>
      </c>
      <c r="P26" s="123">
        <f t="shared" si="6"/>
        <v>0.31069444444444444</v>
      </c>
      <c r="Q26" s="123">
        <f t="shared" si="6"/>
        <v>0.17125000000000001</v>
      </c>
      <c r="R26" s="123">
        <f t="shared" si="6"/>
        <v>0.17888888888888888</v>
      </c>
      <c r="S26" s="123">
        <f>S27/S28</f>
        <v>0.17888888888888888</v>
      </c>
      <c r="T26" s="123">
        <f t="shared" si="6"/>
        <v>0.10555555555555556</v>
      </c>
      <c r="U26" s="123">
        <f t="shared" si="6"/>
        <v>0.19291666666666665</v>
      </c>
      <c r="V26" s="123">
        <f t="shared" si="6"/>
        <v>0.15083333333333335</v>
      </c>
      <c r="W26" s="123">
        <f t="shared" si="6"/>
        <v>0.36458333333333331</v>
      </c>
      <c r="X26" s="123">
        <f t="shared" si="6"/>
        <v>0.22625000000000001</v>
      </c>
      <c r="Y26" s="123">
        <f t="shared" si="6"/>
        <v>0.16111111111111112</v>
      </c>
      <c r="Z26" s="123">
        <f t="shared" si="6"/>
        <v>0.33125925925925925</v>
      </c>
      <c r="AA26" s="123">
        <f t="shared" si="6"/>
        <v>0.2738888888888889</v>
      </c>
      <c r="AB26" s="123">
        <f t="shared" si="6"/>
        <v>0.24638888888888888</v>
      </c>
      <c r="AC26" s="123">
        <f t="shared" si="6"/>
        <v>0.32958333333333334</v>
      </c>
      <c r="AD26" s="123">
        <f t="shared" si="6"/>
        <v>0.24236111111111111</v>
      </c>
      <c r="AE26" s="123">
        <f t="shared" si="6"/>
        <v>0.21833333333333332</v>
      </c>
      <c r="AF26" s="123">
        <f t="shared" si="6"/>
        <v>6.9444444444444448E-2</v>
      </c>
      <c r="AG26" s="123">
        <f t="shared" si="6"/>
        <v>4.3611111111111114E-2</v>
      </c>
      <c r="AH26" s="328">
        <f t="shared" si="6"/>
        <v>7.0694444444444449E-2</v>
      </c>
      <c r="AI26" s="331"/>
    </row>
    <row r="27" spans="1:39" s="116" customFormat="1" ht="15">
      <c r="C27" s="124" t="s">
        <v>75</v>
      </c>
      <c r="D27" s="118">
        <f>AVERAGE(D6:D21)</f>
        <v>68.125</v>
      </c>
      <c r="E27" s="118">
        <f t="shared" ref="E27:AH27" si="7">AVERAGE(E6:E21)</f>
        <v>102.8125</v>
      </c>
      <c r="F27" s="118">
        <f t="shared" si="7"/>
        <v>61.625</v>
      </c>
      <c r="G27" s="118">
        <f t="shared" si="7"/>
        <v>51.1875</v>
      </c>
      <c r="H27" s="118">
        <f>AVERAGE(H6:H21)</f>
        <v>18.4375</v>
      </c>
      <c r="I27" s="118">
        <f t="shared" si="7"/>
        <v>36.3125</v>
      </c>
      <c r="J27" s="118">
        <f t="shared" si="7"/>
        <v>65.625</v>
      </c>
      <c r="K27" s="118">
        <f t="shared" si="7"/>
        <v>96.125</v>
      </c>
      <c r="L27" s="118">
        <f t="shared" si="7"/>
        <v>105.4375</v>
      </c>
      <c r="M27" s="118">
        <f t="shared" si="7"/>
        <v>81.25</v>
      </c>
      <c r="N27" s="118">
        <f t="shared" si="7"/>
        <v>25</v>
      </c>
      <c r="O27" s="118">
        <f t="shared" si="7"/>
        <v>88.6875</v>
      </c>
      <c r="P27" s="118">
        <f t="shared" si="7"/>
        <v>139.8125</v>
      </c>
      <c r="Q27" s="118">
        <f t="shared" si="7"/>
        <v>77.0625</v>
      </c>
      <c r="R27" s="118">
        <f t="shared" si="7"/>
        <v>80.5</v>
      </c>
      <c r="S27" s="118">
        <f>AVERAGE(R6:R21)</f>
        <v>80.5</v>
      </c>
      <c r="T27" s="118">
        <f>AVERAGE(S6:S21)</f>
        <v>47.5</v>
      </c>
      <c r="U27" s="118">
        <f t="shared" si="7"/>
        <v>86.8125</v>
      </c>
      <c r="V27" s="118">
        <f t="shared" si="7"/>
        <v>67.875</v>
      </c>
      <c r="W27" s="118">
        <f t="shared" si="7"/>
        <v>164.0625</v>
      </c>
      <c r="X27" s="118">
        <f t="shared" si="7"/>
        <v>101.8125</v>
      </c>
      <c r="Y27" s="118">
        <f t="shared" si="7"/>
        <v>72.5</v>
      </c>
      <c r="Z27" s="118">
        <f>AVERAGE(Z6:Z20)</f>
        <v>149.06666666666666</v>
      </c>
      <c r="AA27" s="118">
        <f t="shared" si="7"/>
        <v>123.25</v>
      </c>
      <c r="AB27" s="118">
        <f t="shared" si="7"/>
        <v>110.875</v>
      </c>
      <c r="AC27" s="118">
        <f t="shared" si="7"/>
        <v>148.3125</v>
      </c>
      <c r="AD27" s="118">
        <f t="shared" si="7"/>
        <v>109.0625</v>
      </c>
      <c r="AE27" s="118">
        <f t="shared" si="7"/>
        <v>98.25</v>
      </c>
      <c r="AF27" s="118">
        <f t="shared" si="7"/>
        <v>31.25</v>
      </c>
      <c r="AG27" s="118">
        <f t="shared" si="7"/>
        <v>19.625</v>
      </c>
      <c r="AH27" s="329">
        <f t="shared" si="7"/>
        <v>31.8125</v>
      </c>
      <c r="AI27" s="332"/>
    </row>
    <row r="28" spans="1:39" s="116" customFormat="1" ht="15">
      <c r="C28" s="124" t="s">
        <v>74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  <c r="AH28" s="330">
        <v>450</v>
      </c>
      <c r="AI28" s="126"/>
    </row>
  </sheetData>
  <mergeCells count="1">
    <mergeCell ref="D1:AG1"/>
  </mergeCells>
  <conditionalFormatting sqref="B8">
    <cfRule type="duplicateValues" dxfId="102" priority="16"/>
  </conditionalFormatting>
  <conditionalFormatting sqref="B10:B11 B7">
    <cfRule type="duplicateValues" dxfId="101" priority="17"/>
  </conditionalFormatting>
  <conditionalFormatting sqref="B13">
    <cfRule type="duplicateValues" dxfId="100" priority="14"/>
  </conditionalFormatting>
  <conditionalFormatting sqref="B14">
    <cfRule type="duplicateValues" dxfId="99" priority="15"/>
  </conditionalFormatting>
  <conditionalFormatting sqref="B16:B17 B12">
    <cfRule type="duplicateValues" dxfId="98" priority="20"/>
  </conditionalFormatting>
  <conditionalFormatting sqref="B18:B19 B22:B23">
    <cfRule type="duplicateValues" dxfId="97" priority="18"/>
  </conditionalFormatting>
  <conditionalFormatting sqref="B21 B15 B9 B3:B6">
    <cfRule type="duplicateValues" dxfId="96" priority="19"/>
  </conditionalFormatting>
  <conditionalFormatting sqref="D3:AH23">
    <cfRule type="colorScale" priority="1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M3:AM23">
    <cfRule type="cellIs" dxfId="95" priority="12" operator="lessThan">
      <formula>0</formula>
    </cfRule>
    <cfRule type="cellIs" dxfId="94" priority="13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6D41-E254-42A8-931B-C4EE125D8CB7}">
  <dimension ref="A1:AL35"/>
  <sheetViews>
    <sheetView zoomScale="67" zoomScaleNormal="67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37" sqref="N37"/>
    </sheetView>
  </sheetViews>
  <sheetFormatPr defaultRowHeight="14.5"/>
  <cols>
    <col min="1" max="1" width="16" customWidth="1"/>
    <col min="2" max="2" width="39.36328125" customWidth="1"/>
    <col min="3" max="33" width="6.7265625" customWidth="1"/>
    <col min="34" max="34" width="10.6328125" bestFit="1" customWidth="1"/>
    <col min="35" max="35" width="16.08984375" bestFit="1" customWidth="1"/>
    <col min="36" max="36" width="18.6328125" bestFit="1" customWidth="1"/>
    <col min="37" max="37" width="13.36328125" customWidth="1"/>
    <col min="38" max="38" width="13" customWidth="1"/>
  </cols>
  <sheetData>
    <row r="1" spans="1:38" ht="35.25" customHeight="1">
      <c r="B1" s="127" t="s">
        <v>161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157"/>
    </row>
    <row r="2" spans="1:38" ht="73.5" customHeight="1">
      <c r="A2" s="60" t="s">
        <v>4</v>
      </c>
      <c r="B2" s="61" t="s">
        <v>5</v>
      </c>
      <c r="C2" s="100">
        <v>45261</v>
      </c>
      <c r="D2" s="100">
        <v>45262</v>
      </c>
      <c r="E2" s="100">
        <v>45263</v>
      </c>
      <c r="F2" s="100">
        <v>45264</v>
      </c>
      <c r="G2" s="100">
        <v>45265</v>
      </c>
      <c r="H2" s="100">
        <v>45266</v>
      </c>
      <c r="I2" s="100">
        <v>45267</v>
      </c>
      <c r="J2" s="100">
        <v>45268</v>
      </c>
      <c r="K2" s="100">
        <v>45269</v>
      </c>
      <c r="L2" s="100">
        <v>45270</v>
      </c>
      <c r="M2" s="100">
        <v>45271</v>
      </c>
      <c r="N2" s="100">
        <v>45272</v>
      </c>
      <c r="O2" s="100">
        <v>45273</v>
      </c>
      <c r="P2" s="100">
        <v>45274</v>
      </c>
      <c r="Q2" s="100">
        <v>45275</v>
      </c>
      <c r="R2" s="100">
        <v>45276</v>
      </c>
      <c r="S2" s="100">
        <v>45277</v>
      </c>
      <c r="T2" s="100">
        <v>45278</v>
      </c>
      <c r="U2" s="100">
        <v>45279</v>
      </c>
      <c r="V2" s="100">
        <v>45280</v>
      </c>
      <c r="W2" s="100">
        <v>45281</v>
      </c>
      <c r="X2" s="100">
        <v>45282</v>
      </c>
      <c r="Y2" s="100">
        <v>45283</v>
      </c>
      <c r="Z2" s="100">
        <v>45284</v>
      </c>
      <c r="AA2" s="100">
        <v>45285</v>
      </c>
      <c r="AB2" s="100">
        <v>45286</v>
      </c>
      <c r="AC2" s="100">
        <v>45287</v>
      </c>
      <c r="AD2" s="100">
        <v>45288</v>
      </c>
      <c r="AE2" s="100">
        <v>45289</v>
      </c>
      <c r="AF2" s="100">
        <v>45290</v>
      </c>
      <c r="AG2" s="100">
        <v>45291</v>
      </c>
      <c r="AH2" s="101" t="s">
        <v>79</v>
      </c>
      <c r="AI2" s="106" t="s">
        <v>18</v>
      </c>
      <c r="AJ2" s="125" t="s">
        <v>77</v>
      </c>
      <c r="AK2" s="107" t="s">
        <v>20</v>
      </c>
      <c r="AL2" s="108" t="s">
        <v>78</v>
      </c>
    </row>
    <row r="3" spans="1:38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10">
        <f t="shared" ref="AH3:AH10" si="0">AVERAGE(C3:AF3)</f>
        <v>0</v>
      </c>
      <c r="AI3" s="111">
        <v>10000</v>
      </c>
      <c r="AJ3" s="111">
        <f t="shared" ref="AJ3:AJ23" si="1">SUM(C3:AF3)</f>
        <v>0</v>
      </c>
      <c r="AK3" s="112">
        <f>AJ3/AI3</f>
        <v>0</v>
      </c>
      <c r="AL3" s="113">
        <f>AI3-AJ3</f>
        <v>10000</v>
      </c>
    </row>
    <row r="4" spans="1:38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10">
        <f t="shared" si="0"/>
        <v>0</v>
      </c>
      <c r="AI4" s="111">
        <v>10000</v>
      </c>
      <c r="AJ4" s="111">
        <f t="shared" si="1"/>
        <v>0</v>
      </c>
      <c r="AK4" s="112">
        <f t="shared" ref="AK4:AK22" si="2">AJ4/AI4</f>
        <v>0</v>
      </c>
      <c r="AL4" s="113">
        <f t="shared" ref="AL4:AL22" si="3">AI4-AJ4</f>
        <v>10000</v>
      </c>
    </row>
    <row r="5" spans="1:38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10">
        <f t="shared" si="0"/>
        <v>0</v>
      </c>
      <c r="AI5" s="111">
        <v>10000</v>
      </c>
      <c r="AJ5" s="111">
        <f t="shared" si="1"/>
        <v>0</v>
      </c>
      <c r="AK5" s="112">
        <f t="shared" si="2"/>
        <v>0</v>
      </c>
      <c r="AL5" s="113">
        <f t="shared" si="3"/>
        <v>10000</v>
      </c>
    </row>
    <row r="6" spans="1:38" ht="20">
      <c r="A6" s="99" t="s">
        <v>33</v>
      </c>
      <c r="B6" s="98" t="s">
        <v>34</v>
      </c>
      <c r="C6" s="103">
        <v>270</v>
      </c>
      <c r="D6" s="103">
        <v>237</v>
      </c>
      <c r="E6" s="103">
        <v>20</v>
      </c>
      <c r="F6" s="103">
        <v>231</v>
      </c>
      <c r="G6" s="103">
        <v>216</v>
      </c>
      <c r="H6" s="103">
        <v>312</v>
      </c>
      <c r="I6" s="103">
        <v>0</v>
      </c>
      <c r="J6" s="103">
        <v>30</v>
      </c>
      <c r="K6" s="103">
        <v>560</v>
      </c>
      <c r="L6" s="103">
        <v>246</v>
      </c>
      <c r="M6" s="103">
        <v>122</v>
      </c>
      <c r="N6" s="103">
        <v>76</v>
      </c>
      <c r="O6" s="103">
        <v>357</v>
      </c>
      <c r="P6" s="103">
        <v>184</v>
      </c>
      <c r="Q6" s="103">
        <v>247</v>
      </c>
      <c r="R6" s="103">
        <v>93</v>
      </c>
      <c r="S6" s="103">
        <v>0</v>
      </c>
      <c r="T6" s="103">
        <v>294</v>
      </c>
      <c r="U6" s="103">
        <v>183</v>
      </c>
      <c r="V6" s="103">
        <v>50</v>
      </c>
      <c r="W6" s="103">
        <v>37</v>
      </c>
      <c r="X6" s="103">
        <v>1</v>
      </c>
      <c r="Y6" s="103">
        <v>55</v>
      </c>
      <c r="Z6" s="103">
        <v>201</v>
      </c>
      <c r="AA6" s="103">
        <v>584</v>
      </c>
      <c r="AB6" s="103">
        <v>0</v>
      </c>
      <c r="AC6" s="103">
        <v>0</v>
      </c>
      <c r="AD6" s="103">
        <v>195</v>
      </c>
      <c r="AE6" s="103">
        <v>184</v>
      </c>
      <c r="AF6" s="103">
        <v>19</v>
      </c>
      <c r="AG6" s="103">
        <v>0</v>
      </c>
      <c r="AH6" s="110">
        <f t="shared" si="0"/>
        <v>166.8</v>
      </c>
      <c r="AI6" s="111">
        <v>10000</v>
      </c>
      <c r="AJ6" s="111">
        <v>5006</v>
      </c>
      <c r="AK6" s="112">
        <f>AJ6/AI6</f>
        <v>0.50060000000000004</v>
      </c>
      <c r="AL6" s="113">
        <f t="shared" si="3"/>
        <v>4994</v>
      </c>
    </row>
    <row r="7" spans="1:38" ht="20">
      <c r="A7" s="99" t="s">
        <v>35</v>
      </c>
      <c r="B7" s="98" t="s">
        <v>36</v>
      </c>
      <c r="C7" s="103">
        <v>501</v>
      </c>
      <c r="D7" s="103">
        <v>245</v>
      </c>
      <c r="E7" s="103">
        <v>3</v>
      </c>
      <c r="F7" s="103">
        <v>2</v>
      </c>
      <c r="G7" s="103">
        <v>24</v>
      </c>
      <c r="H7" s="103">
        <v>32</v>
      </c>
      <c r="I7" s="103">
        <v>403</v>
      </c>
      <c r="J7" s="103">
        <v>482</v>
      </c>
      <c r="K7" s="103">
        <v>354</v>
      </c>
      <c r="L7" s="103">
        <v>294</v>
      </c>
      <c r="M7" s="103">
        <v>406</v>
      </c>
      <c r="N7" s="103">
        <v>329</v>
      </c>
      <c r="O7" s="103">
        <v>0</v>
      </c>
      <c r="P7" s="103">
        <v>49</v>
      </c>
      <c r="Q7" s="103">
        <v>542</v>
      </c>
      <c r="R7" s="103">
        <v>182</v>
      </c>
      <c r="S7" s="103">
        <v>6</v>
      </c>
      <c r="T7" s="103">
        <v>0</v>
      </c>
      <c r="U7" s="103">
        <v>0</v>
      </c>
      <c r="V7" s="103">
        <v>0</v>
      </c>
      <c r="W7" s="103">
        <v>0</v>
      </c>
      <c r="X7" s="103">
        <v>230</v>
      </c>
      <c r="Y7" s="103">
        <v>341</v>
      </c>
      <c r="Z7" s="103">
        <v>124</v>
      </c>
      <c r="AA7" s="103">
        <v>0</v>
      </c>
      <c r="AB7" s="103">
        <v>0</v>
      </c>
      <c r="AC7" s="103">
        <v>277</v>
      </c>
      <c r="AD7" s="103">
        <v>109</v>
      </c>
      <c r="AE7" s="103">
        <v>409</v>
      </c>
      <c r="AF7" s="103">
        <v>2</v>
      </c>
      <c r="AG7" s="103">
        <v>22</v>
      </c>
      <c r="AH7" s="110">
        <f t="shared" si="0"/>
        <v>178.2</v>
      </c>
      <c r="AI7" s="111">
        <v>10000</v>
      </c>
      <c r="AJ7" s="111">
        <v>5548</v>
      </c>
      <c r="AK7" s="112">
        <f t="shared" si="2"/>
        <v>0.55479999999999996</v>
      </c>
      <c r="AL7" s="113">
        <f t="shared" si="3"/>
        <v>4452</v>
      </c>
    </row>
    <row r="8" spans="1:38" ht="20">
      <c r="A8" s="99" t="s">
        <v>37</v>
      </c>
      <c r="B8" s="98" t="s">
        <v>73</v>
      </c>
      <c r="C8" s="103">
        <v>26</v>
      </c>
      <c r="D8" s="103">
        <v>224</v>
      </c>
      <c r="E8" s="103">
        <v>293</v>
      </c>
      <c r="F8" s="103">
        <v>229</v>
      </c>
      <c r="G8" s="103">
        <v>119</v>
      </c>
      <c r="H8" s="103">
        <v>10</v>
      </c>
      <c r="I8" s="103">
        <v>74</v>
      </c>
      <c r="J8" s="103">
        <v>139</v>
      </c>
      <c r="K8" s="103">
        <v>149</v>
      </c>
      <c r="L8" s="103">
        <v>200</v>
      </c>
      <c r="M8" s="103">
        <v>442</v>
      </c>
      <c r="N8" s="103">
        <v>310</v>
      </c>
      <c r="O8" s="103">
        <v>0</v>
      </c>
      <c r="P8" s="103">
        <v>53</v>
      </c>
      <c r="Q8" s="103">
        <v>26</v>
      </c>
      <c r="R8" s="103">
        <v>249</v>
      </c>
      <c r="S8" s="103">
        <v>350</v>
      </c>
      <c r="T8" s="103">
        <v>139</v>
      </c>
      <c r="U8" s="103">
        <v>57</v>
      </c>
      <c r="V8" s="103">
        <v>193</v>
      </c>
      <c r="W8" s="103">
        <v>0</v>
      </c>
      <c r="X8" s="103">
        <v>121</v>
      </c>
      <c r="Y8" s="103">
        <v>136</v>
      </c>
      <c r="Z8" s="103">
        <v>0</v>
      </c>
      <c r="AA8" s="103">
        <v>0</v>
      </c>
      <c r="AB8" s="103">
        <v>0</v>
      </c>
      <c r="AC8" s="103">
        <v>0</v>
      </c>
      <c r="AD8" s="103">
        <v>0</v>
      </c>
      <c r="AE8" s="103">
        <v>0</v>
      </c>
      <c r="AF8" s="103">
        <v>0</v>
      </c>
      <c r="AG8" s="103">
        <v>0</v>
      </c>
      <c r="AH8" s="110">
        <f t="shared" si="0"/>
        <v>117.96666666666667</v>
      </c>
      <c r="AI8" s="111">
        <v>10000</v>
      </c>
      <c r="AJ8" s="111">
        <v>3652</v>
      </c>
      <c r="AK8" s="112">
        <f t="shared" si="2"/>
        <v>0.36520000000000002</v>
      </c>
      <c r="AL8" s="113">
        <f t="shared" si="3"/>
        <v>6348</v>
      </c>
    </row>
    <row r="9" spans="1:38" ht="20">
      <c r="A9" s="99" t="s">
        <v>38</v>
      </c>
      <c r="B9" s="98" t="s">
        <v>39</v>
      </c>
      <c r="C9" s="103">
        <v>76</v>
      </c>
      <c r="D9" s="103">
        <v>11</v>
      </c>
      <c r="E9" s="103">
        <v>0</v>
      </c>
      <c r="F9" s="103">
        <v>198</v>
      </c>
      <c r="G9" s="103">
        <v>336</v>
      </c>
      <c r="H9" s="103">
        <v>179</v>
      </c>
      <c r="I9" s="103">
        <v>179</v>
      </c>
      <c r="J9" s="103">
        <v>301</v>
      </c>
      <c r="K9" s="103">
        <v>129</v>
      </c>
      <c r="L9" s="103">
        <v>288</v>
      </c>
      <c r="M9" s="103">
        <v>182</v>
      </c>
      <c r="N9" s="103">
        <v>1</v>
      </c>
      <c r="O9" s="103">
        <v>45</v>
      </c>
      <c r="P9" s="103">
        <v>254</v>
      </c>
      <c r="Q9" s="103">
        <v>303</v>
      </c>
      <c r="R9" s="103">
        <v>142</v>
      </c>
      <c r="S9" s="103">
        <v>102</v>
      </c>
      <c r="T9" s="103">
        <v>0</v>
      </c>
      <c r="U9" s="103">
        <v>0</v>
      </c>
      <c r="V9" s="103">
        <v>33</v>
      </c>
      <c r="W9" s="103">
        <v>2</v>
      </c>
      <c r="X9" s="103">
        <v>343</v>
      </c>
      <c r="Y9" s="103">
        <v>153</v>
      </c>
      <c r="Z9" s="103">
        <v>0</v>
      </c>
      <c r="AA9" s="103">
        <v>0</v>
      </c>
      <c r="AB9" s="103">
        <v>0</v>
      </c>
      <c r="AC9" s="103">
        <v>10</v>
      </c>
      <c r="AD9" s="103">
        <v>3</v>
      </c>
      <c r="AE9" s="103">
        <v>303</v>
      </c>
      <c r="AF9" s="103">
        <v>377</v>
      </c>
      <c r="AG9" s="103">
        <v>215</v>
      </c>
      <c r="AH9" s="110">
        <f t="shared" si="0"/>
        <v>131.66666666666666</v>
      </c>
      <c r="AI9" s="111">
        <v>10000</v>
      </c>
      <c r="AJ9" s="111">
        <v>4339</v>
      </c>
      <c r="AK9" s="112">
        <f t="shared" si="2"/>
        <v>0.43390000000000001</v>
      </c>
      <c r="AL9" s="113">
        <f t="shared" si="3"/>
        <v>5661</v>
      </c>
    </row>
    <row r="10" spans="1:38" ht="20">
      <c r="A10" s="200" t="s">
        <v>40</v>
      </c>
      <c r="B10" s="98" t="s">
        <v>68</v>
      </c>
      <c r="C10" s="103">
        <v>0</v>
      </c>
      <c r="D10" s="103">
        <v>0</v>
      </c>
      <c r="E10" s="103">
        <v>0</v>
      </c>
      <c r="F10" s="103">
        <v>0</v>
      </c>
      <c r="G10" s="103">
        <v>342</v>
      </c>
      <c r="H10" s="103">
        <v>152</v>
      </c>
      <c r="I10" s="103">
        <v>368</v>
      </c>
      <c r="J10" s="103">
        <v>91</v>
      </c>
      <c r="K10" s="103">
        <v>189</v>
      </c>
      <c r="L10" s="103">
        <v>229</v>
      </c>
      <c r="M10" s="103">
        <v>183</v>
      </c>
      <c r="N10" s="103">
        <v>1</v>
      </c>
      <c r="O10" s="103">
        <v>135</v>
      </c>
      <c r="P10" s="103">
        <v>311</v>
      </c>
      <c r="Q10" s="103">
        <v>132</v>
      </c>
      <c r="R10" s="103">
        <v>78</v>
      </c>
      <c r="S10" s="103">
        <v>383</v>
      </c>
      <c r="T10" s="103">
        <v>96</v>
      </c>
      <c r="U10" s="103">
        <v>0</v>
      </c>
      <c r="V10" s="103">
        <v>41</v>
      </c>
      <c r="W10" s="103">
        <v>342</v>
      </c>
      <c r="X10" s="103">
        <v>153</v>
      </c>
      <c r="Y10" s="103">
        <v>0</v>
      </c>
      <c r="Z10" s="103">
        <v>0</v>
      </c>
      <c r="AA10" s="103">
        <v>0</v>
      </c>
      <c r="AB10" s="103">
        <v>0</v>
      </c>
      <c r="AC10" s="103">
        <v>12</v>
      </c>
      <c r="AD10" s="103">
        <v>0</v>
      </c>
      <c r="AE10" s="103">
        <v>221</v>
      </c>
      <c r="AF10" s="103">
        <v>456</v>
      </c>
      <c r="AG10" s="103">
        <v>344</v>
      </c>
      <c r="AH10" s="110">
        <f t="shared" si="0"/>
        <v>130.5</v>
      </c>
      <c r="AI10" s="111">
        <v>10000</v>
      </c>
      <c r="AJ10" s="111">
        <v>4417</v>
      </c>
      <c r="AK10" s="112">
        <f t="shared" si="2"/>
        <v>0.44169999999999998</v>
      </c>
      <c r="AL10" s="201">
        <f>AI10-AJ10</f>
        <v>5583</v>
      </c>
    </row>
    <row r="11" spans="1:38" ht="20">
      <c r="A11" s="200" t="s">
        <v>41</v>
      </c>
      <c r="B11" s="98" t="s">
        <v>42</v>
      </c>
      <c r="C11" s="103">
        <v>116</v>
      </c>
      <c r="D11" s="103">
        <v>94</v>
      </c>
      <c r="E11" s="103">
        <v>4</v>
      </c>
      <c r="F11" s="103">
        <v>1</v>
      </c>
      <c r="G11" s="103">
        <v>0</v>
      </c>
      <c r="H11" s="103">
        <v>13</v>
      </c>
      <c r="I11" s="103">
        <v>3</v>
      </c>
      <c r="J11" s="103">
        <v>277</v>
      </c>
      <c r="K11" s="103">
        <v>1</v>
      </c>
      <c r="L11" s="103">
        <v>140</v>
      </c>
      <c r="M11" s="103">
        <v>142</v>
      </c>
      <c r="N11" s="103">
        <v>3</v>
      </c>
      <c r="O11" s="103">
        <v>115</v>
      </c>
      <c r="P11" s="103">
        <v>137</v>
      </c>
      <c r="Q11" s="103">
        <v>67</v>
      </c>
      <c r="R11" s="103">
        <v>165</v>
      </c>
      <c r="S11" s="103">
        <v>56</v>
      </c>
      <c r="T11" s="103">
        <v>4</v>
      </c>
      <c r="U11" s="103">
        <v>3</v>
      </c>
      <c r="V11" s="103">
        <v>39</v>
      </c>
      <c r="W11" s="103">
        <v>9</v>
      </c>
      <c r="X11" s="103">
        <v>15</v>
      </c>
      <c r="Y11" s="103">
        <v>471</v>
      </c>
      <c r="Z11" s="103">
        <v>10</v>
      </c>
      <c r="AA11" s="103">
        <v>13</v>
      </c>
      <c r="AB11" s="103">
        <v>7</v>
      </c>
      <c r="AC11" s="103">
        <v>14</v>
      </c>
      <c r="AD11" s="103">
        <v>8</v>
      </c>
      <c r="AE11" s="103">
        <v>300</v>
      </c>
      <c r="AF11" s="103">
        <v>380</v>
      </c>
      <c r="AG11" s="103">
        <v>264</v>
      </c>
      <c r="AH11" s="110">
        <v>194</v>
      </c>
      <c r="AI11" s="111">
        <v>10000</v>
      </c>
      <c r="AJ11" s="111">
        <v>3397</v>
      </c>
      <c r="AK11" s="112">
        <v>0.43</v>
      </c>
      <c r="AL11" s="201">
        <v>3334</v>
      </c>
    </row>
    <row r="12" spans="1:38" ht="20">
      <c r="A12" s="99" t="s">
        <v>43</v>
      </c>
      <c r="B12" s="98" t="s">
        <v>44</v>
      </c>
      <c r="C12" s="103">
        <v>138</v>
      </c>
      <c r="D12" s="103">
        <v>87</v>
      </c>
      <c r="E12" s="103">
        <v>180</v>
      </c>
      <c r="F12" s="103">
        <v>55</v>
      </c>
      <c r="G12" s="103">
        <v>216</v>
      </c>
      <c r="H12" s="103">
        <v>116</v>
      </c>
      <c r="I12" s="103">
        <v>209</v>
      </c>
      <c r="J12" s="103">
        <v>1</v>
      </c>
      <c r="K12" s="103">
        <v>12</v>
      </c>
      <c r="L12" s="103">
        <v>1</v>
      </c>
      <c r="M12" s="103">
        <v>215</v>
      </c>
      <c r="N12" s="103">
        <v>246</v>
      </c>
      <c r="O12" s="103">
        <v>139</v>
      </c>
      <c r="P12" s="103">
        <v>2</v>
      </c>
      <c r="Q12" s="103">
        <v>131</v>
      </c>
      <c r="R12" s="103">
        <v>272</v>
      </c>
      <c r="S12" s="103">
        <v>150</v>
      </c>
      <c r="T12" s="103">
        <v>194</v>
      </c>
      <c r="U12" s="103">
        <v>344</v>
      </c>
      <c r="V12" s="103">
        <v>165</v>
      </c>
      <c r="W12" s="103">
        <v>6</v>
      </c>
      <c r="X12" s="103">
        <v>257</v>
      </c>
      <c r="Y12" s="103">
        <v>239</v>
      </c>
      <c r="Z12" s="103">
        <v>0</v>
      </c>
      <c r="AA12" s="103">
        <v>0</v>
      </c>
      <c r="AB12" s="103">
        <v>0</v>
      </c>
      <c r="AC12" s="103">
        <v>0</v>
      </c>
      <c r="AD12" s="103">
        <v>0</v>
      </c>
      <c r="AE12" s="103">
        <v>0</v>
      </c>
      <c r="AF12" s="103">
        <v>0</v>
      </c>
      <c r="AG12" s="103">
        <v>0</v>
      </c>
      <c r="AH12" s="110">
        <f t="shared" ref="AH12:AH23" si="4">AVERAGE(C12:AF12)</f>
        <v>112.5</v>
      </c>
      <c r="AI12" s="111">
        <v>10000</v>
      </c>
      <c r="AJ12" s="111">
        <v>3224</v>
      </c>
      <c r="AK12" s="112">
        <f t="shared" si="2"/>
        <v>0.32240000000000002</v>
      </c>
      <c r="AL12" s="113">
        <f t="shared" si="3"/>
        <v>6776</v>
      </c>
    </row>
    <row r="13" spans="1:38" ht="20">
      <c r="A13" s="99" t="s">
        <v>45</v>
      </c>
      <c r="B13" s="98" t="s">
        <v>46</v>
      </c>
      <c r="C13" s="103">
        <v>110</v>
      </c>
      <c r="D13" s="103">
        <v>128</v>
      </c>
      <c r="E13" s="103">
        <v>130</v>
      </c>
      <c r="F13" s="103">
        <v>53</v>
      </c>
      <c r="G13" s="103">
        <v>450</v>
      </c>
      <c r="H13" s="103">
        <v>93</v>
      </c>
      <c r="I13" s="103">
        <v>400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100</v>
      </c>
      <c r="R13" s="103">
        <v>207</v>
      </c>
      <c r="S13" s="103">
        <v>438</v>
      </c>
      <c r="T13" s="103">
        <v>97</v>
      </c>
      <c r="U13" s="103">
        <v>1</v>
      </c>
      <c r="V13" s="103">
        <v>35</v>
      </c>
      <c r="W13" s="103">
        <v>346</v>
      </c>
      <c r="X13" s="103">
        <v>153</v>
      </c>
      <c r="Y13" s="103">
        <v>0</v>
      </c>
      <c r="Z13" s="103">
        <v>0</v>
      </c>
      <c r="AA13" s="103">
        <v>0</v>
      </c>
      <c r="AB13" s="103">
        <v>0</v>
      </c>
      <c r="AC13" s="103">
        <v>12</v>
      </c>
      <c r="AD13" s="103">
        <v>1</v>
      </c>
      <c r="AE13" s="103">
        <v>316</v>
      </c>
      <c r="AF13" s="103">
        <v>349</v>
      </c>
      <c r="AG13" s="103">
        <v>8</v>
      </c>
      <c r="AH13" s="110">
        <f t="shared" si="4"/>
        <v>113.96666666666667</v>
      </c>
      <c r="AI13" s="111">
        <v>10000</v>
      </c>
      <c r="AJ13" s="111">
        <f t="shared" ref="AJ13:AJ20" si="5">SUM(C13:AG13)</f>
        <v>3427</v>
      </c>
      <c r="AK13" s="112">
        <f t="shared" si="2"/>
        <v>0.3427</v>
      </c>
      <c r="AL13" s="113">
        <f t="shared" si="3"/>
        <v>6573</v>
      </c>
    </row>
    <row r="14" spans="1:38" ht="20">
      <c r="A14" s="99" t="s">
        <v>47</v>
      </c>
      <c r="B14" s="98" t="s">
        <v>48</v>
      </c>
      <c r="C14" s="103">
        <v>121</v>
      </c>
      <c r="D14" s="103">
        <v>140</v>
      </c>
      <c r="E14" s="103">
        <v>138</v>
      </c>
      <c r="F14" s="103">
        <v>55</v>
      </c>
      <c r="G14" s="103">
        <v>464</v>
      </c>
      <c r="H14" s="103">
        <v>89</v>
      </c>
      <c r="I14" s="103">
        <v>84</v>
      </c>
      <c r="J14" s="103">
        <v>361</v>
      </c>
      <c r="K14" s="103">
        <v>254</v>
      </c>
      <c r="L14" s="103">
        <v>173</v>
      </c>
      <c r="M14" s="103">
        <v>462</v>
      </c>
      <c r="N14" s="103">
        <v>170</v>
      </c>
      <c r="O14" s="103">
        <v>98</v>
      </c>
      <c r="P14" s="103">
        <v>47</v>
      </c>
      <c r="Q14" s="103">
        <v>324</v>
      </c>
      <c r="R14" s="103">
        <v>207</v>
      </c>
      <c r="S14" s="103">
        <v>0</v>
      </c>
      <c r="T14" s="103">
        <v>213</v>
      </c>
      <c r="U14" s="103">
        <v>225</v>
      </c>
      <c r="V14" s="103">
        <v>33</v>
      </c>
      <c r="W14" s="103">
        <v>31</v>
      </c>
      <c r="X14" s="103">
        <v>313</v>
      </c>
      <c r="Y14" s="103">
        <v>154</v>
      </c>
      <c r="Z14" s="103">
        <v>0</v>
      </c>
      <c r="AA14" s="103">
        <v>0</v>
      </c>
      <c r="AB14" s="103">
        <v>0</v>
      </c>
      <c r="AC14" s="103">
        <v>12</v>
      </c>
      <c r="AD14" s="103">
        <v>0</v>
      </c>
      <c r="AE14" s="103">
        <v>324</v>
      </c>
      <c r="AF14" s="103">
        <v>351</v>
      </c>
      <c r="AG14" s="103">
        <v>265</v>
      </c>
      <c r="AH14" s="110">
        <f t="shared" si="4"/>
        <v>161.43333333333334</v>
      </c>
      <c r="AI14" s="111">
        <v>10000</v>
      </c>
      <c r="AJ14" s="111">
        <v>5316</v>
      </c>
      <c r="AK14" s="112">
        <f t="shared" si="2"/>
        <v>0.53159999999999996</v>
      </c>
      <c r="AL14" s="113">
        <f t="shared" si="3"/>
        <v>4684</v>
      </c>
    </row>
    <row r="15" spans="1:38" ht="20">
      <c r="A15" s="99" t="s">
        <v>49</v>
      </c>
      <c r="B15" s="98" t="s">
        <v>50</v>
      </c>
      <c r="C15" s="103">
        <v>115</v>
      </c>
      <c r="D15" s="103">
        <v>105</v>
      </c>
      <c r="E15" s="103">
        <v>0</v>
      </c>
      <c r="F15" s="103">
        <v>197</v>
      </c>
      <c r="G15" s="103">
        <v>200</v>
      </c>
      <c r="H15" s="103">
        <v>181</v>
      </c>
      <c r="I15" s="103">
        <v>54</v>
      </c>
      <c r="J15" s="103">
        <v>214</v>
      </c>
      <c r="K15" s="103">
        <v>328</v>
      </c>
      <c r="L15" s="103">
        <v>0</v>
      </c>
      <c r="M15" s="103">
        <v>222</v>
      </c>
      <c r="N15" s="103">
        <v>201</v>
      </c>
      <c r="O15" s="103">
        <v>182</v>
      </c>
      <c r="P15" s="103">
        <v>2</v>
      </c>
      <c r="Q15" s="103">
        <v>127</v>
      </c>
      <c r="R15" s="103">
        <v>274</v>
      </c>
      <c r="S15" s="103">
        <v>67</v>
      </c>
      <c r="T15" s="103">
        <v>196</v>
      </c>
      <c r="U15" s="103">
        <v>311</v>
      </c>
      <c r="V15" s="103">
        <v>32</v>
      </c>
      <c r="W15" s="103">
        <v>3</v>
      </c>
      <c r="X15" s="103">
        <v>305</v>
      </c>
      <c r="Y15" s="103">
        <v>191</v>
      </c>
      <c r="Z15" s="103">
        <v>0</v>
      </c>
      <c r="AA15" s="103">
        <v>0</v>
      </c>
      <c r="AB15" s="103">
        <v>0</v>
      </c>
      <c r="AC15" s="103">
        <v>0</v>
      </c>
      <c r="AD15" s="103">
        <v>12</v>
      </c>
      <c r="AE15" s="103">
        <v>0</v>
      </c>
      <c r="AF15" s="103">
        <v>193</v>
      </c>
      <c r="AG15" s="103">
        <v>112</v>
      </c>
      <c r="AH15" s="110">
        <f t="shared" si="4"/>
        <v>123.73333333333333</v>
      </c>
      <c r="AI15" s="111">
        <v>10000</v>
      </c>
      <c r="AJ15" s="111">
        <v>3911</v>
      </c>
      <c r="AK15" s="112">
        <f t="shared" si="2"/>
        <v>0.3911</v>
      </c>
      <c r="AL15" s="113">
        <f t="shared" si="3"/>
        <v>6089</v>
      </c>
    </row>
    <row r="16" spans="1:38" ht="20">
      <c r="A16" s="99" t="s">
        <v>51</v>
      </c>
      <c r="B16" s="98" t="s">
        <v>52</v>
      </c>
      <c r="C16" s="103">
        <v>0</v>
      </c>
      <c r="D16" s="103">
        <v>131</v>
      </c>
      <c r="E16" s="103">
        <v>226</v>
      </c>
      <c r="F16" s="103">
        <v>1</v>
      </c>
      <c r="G16" s="103">
        <v>197</v>
      </c>
      <c r="H16" s="103">
        <v>233</v>
      </c>
      <c r="I16" s="103">
        <v>129</v>
      </c>
      <c r="J16" s="103">
        <v>131</v>
      </c>
      <c r="K16" s="103">
        <v>18</v>
      </c>
      <c r="L16" s="103">
        <v>248</v>
      </c>
      <c r="M16" s="103">
        <v>195</v>
      </c>
      <c r="N16" s="103">
        <v>138</v>
      </c>
      <c r="O16" s="103">
        <v>0</v>
      </c>
      <c r="P16" s="103">
        <v>0</v>
      </c>
      <c r="Q16" s="103">
        <v>0</v>
      </c>
      <c r="R16" s="103">
        <v>0</v>
      </c>
      <c r="S16" s="103">
        <v>210</v>
      </c>
      <c r="T16" s="103">
        <v>125</v>
      </c>
      <c r="U16" s="103">
        <v>312</v>
      </c>
      <c r="V16" s="103">
        <v>35</v>
      </c>
      <c r="W16" s="103">
        <v>2</v>
      </c>
      <c r="X16" s="103">
        <v>344</v>
      </c>
      <c r="Y16" s="103">
        <v>150</v>
      </c>
      <c r="Z16" s="103">
        <v>0</v>
      </c>
      <c r="AA16" s="103">
        <v>0</v>
      </c>
      <c r="AB16" s="103">
        <v>0</v>
      </c>
      <c r="AC16" s="103">
        <v>12</v>
      </c>
      <c r="AD16" s="103">
        <v>0</v>
      </c>
      <c r="AE16" s="103">
        <v>178</v>
      </c>
      <c r="AF16" s="103">
        <v>473</v>
      </c>
      <c r="AG16" s="103">
        <v>32</v>
      </c>
      <c r="AH16" s="110">
        <f t="shared" si="4"/>
        <v>116.26666666666667</v>
      </c>
      <c r="AI16" s="111">
        <v>10000</v>
      </c>
      <c r="AJ16" s="111">
        <v>3825</v>
      </c>
      <c r="AK16" s="112">
        <f t="shared" si="2"/>
        <v>0.38250000000000001</v>
      </c>
      <c r="AL16" s="113">
        <f t="shared" si="3"/>
        <v>6175</v>
      </c>
    </row>
    <row r="17" spans="1:38" ht="20">
      <c r="A17" s="109" t="s">
        <v>53</v>
      </c>
      <c r="B17" s="98" t="s">
        <v>54</v>
      </c>
      <c r="C17" s="103">
        <v>0</v>
      </c>
      <c r="D17" s="103">
        <v>141</v>
      </c>
      <c r="E17" s="103">
        <v>223</v>
      </c>
      <c r="F17" s="103">
        <v>147</v>
      </c>
      <c r="G17" s="103">
        <v>220</v>
      </c>
      <c r="H17" s="103">
        <v>230</v>
      </c>
      <c r="I17" s="103">
        <v>90</v>
      </c>
      <c r="J17" s="103">
        <v>121</v>
      </c>
      <c r="K17" s="103">
        <v>180</v>
      </c>
      <c r="L17" s="103">
        <v>101</v>
      </c>
      <c r="M17" s="103">
        <v>182</v>
      </c>
      <c r="N17" s="103">
        <v>1</v>
      </c>
      <c r="O17" s="103">
        <v>135</v>
      </c>
      <c r="P17" s="103">
        <v>193</v>
      </c>
      <c r="Q17" s="103">
        <v>234</v>
      </c>
      <c r="R17" s="103">
        <v>77</v>
      </c>
      <c r="S17" s="103">
        <v>57</v>
      </c>
      <c r="T17" s="103">
        <v>431</v>
      </c>
      <c r="U17" s="103">
        <v>1</v>
      </c>
      <c r="V17" s="103">
        <v>31</v>
      </c>
      <c r="W17" s="103">
        <v>6</v>
      </c>
      <c r="X17" s="103">
        <v>342</v>
      </c>
      <c r="Y17" s="103">
        <v>165</v>
      </c>
      <c r="Z17" s="103">
        <v>0</v>
      </c>
      <c r="AA17" s="103">
        <v>0</v>
      </c>
      <c r="AB17" s="103">
        <v>0</v>
      </c>
      <c r="AC17" s="103">
        <v>13</v>
      </c>
      <c r="AD17" s="103">
        <v>0</v>
      </c>
      <c r="AE17" s="103">
        <v>191</v>
      </c>
      <c r="AF17" s="103">
        <v>366</v>
      </c>
      <c r="AG17" s="103">
        <v>130</v>
      </c>
      <c r="AH17" s="110">
        <f t="shared" si="4"/>
        <v>129.26666666666668</v>
      </c>
      <c r="AI17" s="111">
        <v>10000</v>
      </c>
      <c r="AJ17" s="111">
        <f t="shared" si="5"/>
        <v>4008</v>
      </c>
      <c r="AK17" s="112">
        <f t="shared" si="2"/>
        <v>0.40079999999999999</v>
      </c>
      <c r="AL17" s="113">
        <f t="shared" si="3"/>
        <v>5992</v>
      </c>
    </row>
    <row r="18" spans="1:38" ht="20">
      <c r="A18" s="99" t="s">
        <v>55</v>
      </c>
      <c r="B18" s="98" t="s">
        <v>68</v>
      </c>
      <c r="C18" s="103">
        <v>99</v>
      </c>
      <c r="D18" s="103">
        <v>149</v>
      </c>
      <c r="E18" s="103">
        <v>181</v>
      </c>
      <c r="F18" s="103">
        <v>56</v>
      </c>
      <c r="G18" s="103">
        <v>403</v>
      </c>
      <c r="H18" s="103">
        <v>172</v>
      </c>
      <c r="I18" s="103">
        <v>136</v>
      </c>
      <c r="J18" s="103">
        <v>327</v>
      </c>
      <c r="K18" s="103">
        <v>242</v>
      </c>
      <c r="L18" s="103">
        <v>296</v>
      </c>
      <c r="M18" s="103">
        <v>353</v>
      </c>
      <c r="N18" s="103">
        <v>1</v>
      </c>
      <c r="O18" s="103">
        <v>64</v>
      </c>
      <c r="P18" s="103">
        <v>1</v>
      </c>
      <c r="Q18" s="103">
        <v>235</v>
      </c>
      <c r="R18" s="103">
        <v>207</v>
      </c>
      <c r="S18" s="103">
        <v>188</v>
      </c>
      <c r="T18" s="103">
        <v>201</v>
      </c>
      <c r="U18" s="103">
        <v>58</v>
      </c>
      <c r="V18" s="103">
        <v>331</v>
      </c>
      <c r="W18" s="103">
        <v>345</v>
      </c>
      <c r="X18" s="103">
        <v>348</v>
      </c>
      <c r="Y18" s="103">
        <v>152</v>
      </c>
      <c r="Z18" s="103">
        <v>0</v>
      </c>
      <c r="AA18" s="103">
        <v>1</v>
      </c>
      <c r="AB18" s="103">
        <v>0</v>
      </c>
      <c r="AC18" s="103">
        <v>12</v>
      </c>
      <c r="AD18" s="103">
        <v>1</v>
      </c>
      <c r="AE18" s="103">
        <v>273</v>
      </c>
      <c r="AF18" s="103">
        <v>415</v>
      </c>
      <c r="AG18" s="103">
        <v>232</v>
      </c>
      <c r="AH18" s="110">
        <f t="shared" si="4"/>
        <v>174.9</v>
      </c>
      <c r="AI18" s="111">
        <v>10000</v>
      </c>
      <c r="AJ18" s="111">
        <f t="shared" si="5"/>
        <v>5479</v>
      </c>
      <c r="AK18" s="112">
        <f t="shared" si="2"/>
        <v>0.54790000000000005</v>
      </c>
      <c r="AL18" s="113">
        <f t="shared" si="3"/>
        <v>4521</v>
      </c>
    </row>
    <row r="19" spans="1:38" ht="20">
      <c r="A19" s="115" t="s">
        <v>58</v>
      </c>
      <c r="B19" s="98" t="s">
        <v>59</v>
      </c>
      <c r="C19" s="103">
        <v>232</v>
      </c>
      <c r="D19" s="103">
        <v>80</v>
      </c>
      <c r="E19" s="103">
        <v>182</v>
      </c>
      <c r="F19" s="103">
        <v>63</v>
      </c>
      <c r="G19" s="103">
        <v>438</v>
      </c>
      <c r="H19" s="103">
        <v>104</v>
      </c>
      <c r="I19" s="103">
        <v>1</v>
      </c>
      <c r="J19" s="103">
        <v>195</v>
      </c>
      <c r="K19" s="103">
        <v>207</v>
      </c>
      <c r="L19" s="103">
        <v>183</v>
      </c>
      <c r="M19" s="103">
        <v>63</v>
      </c>
      <c r="N19" s="103">
        <v>338</v>
      </c>
      <c r="O19" s="103">
        <v>205</v>
      </c>
      <c r="P19" s="103">
        <v>0</v>
      </c>
      <c r="Q19" s="103">
        <v>0</v>
      </c>
      <c r="R19" s="103">
        <v>163</v>
      </c>
      <c r="S19" s="103">
        <v>161</v>
      </c>
      <c r="T19" s="103">
        <v>0</v>
      </c>
      <c r="U19" s="103">
        <v>1</v>
      </c>
      <c r="V19" s="103">
        <v>40</v>
      </c>
      <c r="W19" s="103">
        <v>16</v>
      </c>
      <c r="X19" s="103">
        <v>333</v>
      </c>
      <c r="Y19" s="103">
        <v>153</v>
      </c>
      <c r="Z19" s="103">
        <v>0</v>
      </c>
      <c r="AA19" s="103">
        <v>0</v>
      </c>
      <c r="AB19" s="103">
        <v>0</v>
      </c>
      <c r="AC19" s="103">
        <v>10</v>
      </c>
      <c r="AD19" s="103">
        <v>3</v>
      </c>
      <c r="AE19" s="103">
        <v>218</v>
      </c>
      <c r="AF19" s="103">
        <v>205</v>
      </c>
      <c r="AG19" s="103">
        <v>263</v>
      </c>
      <c r="AH19" s="110">
        <f t="shared" si="4"/>
        <v>119.8</v>
      </c>
      <c r="AI19" s="111">
        <v>10000</v>
      </c>
      <c r="AJ19" s="111">
        <v>3952</v>
      </c>
      <c r="AK19" s="112">
        <f t="shared" si="2"/>
        <v>0.3952</v>
      </c>
      <c r="AL19" s="113">
        <f t="shared" si="3"/>
        <v>6048</v>
      </c>
    </row>
    <row r="20" spans="1:38" ht="20">
      <c r="A20" s="99" t="s">
        <v>60</v>
      </c>
      <c r="B20" s="98" t="s">
        <v>61</v>
      </c>
      <c r="C20" s="103">
        <v>3</v>
      </c>
      <c r="D20" s="103">
        <v>285</v>
      </c>
      <c r="E20" s="103">
        <v>166</v>
      </c>
      <c r="F20" s="103">
        <v>166</v>
      </c>
      <c r="G20" s="103">
        <v>490</v>
      </c>
      <c r="H20" s="103">
        <v>79</v>
      </c>
      <c r="I20" s="103">
        <v>126</v>
      </c>
      <c r="J20" s="103">
        <v>369</v>
      </c>
      <c r="K20" s="103">
        <v>208</v>
      </c>
      <c r="L20" s="103">
        <v>439</v>
      </c>
      <c r="M20" s="103">
        <v>216</v>
      </c>
      <c r="N20" s="103">
        <v>283</v>
      </c>
      <c r="O20" s="103">
        <v>152</v>
      </c>
      <c r="P20" s="103">
        <v>71</v>
      </c>
      <c r="Q20" s="103">
        <v>61</v>
      </c>
      <c r="R20" s="103">
        <v>286</v>
      </c>
      <c r="S20" s="103">
        <v>77</v>
      </c>
      <c r="T20" s="103">
        <v>227</v>
      </c>
      <c r="U20" s="103">
        <v>288</v>
      </c>
      <c r="V20" s="103">
        <v>30</v>
      </c>
      <c r="W20" s="103">
        <v>3</v>
      </c>
      <c r="X20" s="103">
        <v>5</v>
      </c>
      <c r="Y20" s="103">
        <v>34</v>
      </c>
      <c r="Z20" s="103">
        <v>1</v>
      </c>
      <c r="AA20" s="103">
        <v>245</v>
      </c>
      <c r="AB20" s="103">
        <v>201</v>
      </c>
      <c r="AC20" s="103">
        <v>36</v>
      </c>
      <c r="AD20" s="103">
        <v>12</v>
      </c>
      <c r="AE20" s="103">
        <v>240</v>
      </c>
      <c r="AF20" s="103">
        <v>416</v>
      </c>
      <c r="AG20" s="103">
        <v>22</v>
      </c>
      <c r="AH20" s="110">
        <f t="shared" si="4"/>
        <v>173.83333333333334</v>
      </c>
      <c r="AI20" s="111">
        <v>10000</v>
      </c>
      <c r="AJ20" s="111">
        <f t="shared" si="5"/>
        <v>5237</v>
      </c>
      <c r="AK20" s="112">
        <f t="shared" si="2"/>
        <v>0.52370000000000005</v>
      </c>
      <c r="AL20" s="113">
        <f t="shared" si="3"/>
        <v>4763</v>
      </c>
    </row>
    <row r="21" spans="1:38" ht="20">
      <c r="A21" s="99" t="s">
        <v>62</v>
      </c>
      <c r="B21" s="98" t="s">
        <v>63</v>
      </c>
      <c r="C21" s="103">
        <v>134</v>
      </c>
      <c r="D21" s="103">
        <v>92</v>
      </c>
      <c r="E21" s="103">
        <v>182</v>
      </c>
      <c r="F21" s="103">
        <v>55</v>
      </c>
      <c r="G21" s="103">
        <v>241</v>
      </c>
      <c r="H21" s="103">
        <v>116</v>
      </c>
      <c r="I21" s="103">
        <v>198</v>
      </c>
      <c r="J21" s="103">
        <v>203</v>
      </c>
      <c r="K21" s="103">
        <v>201</v>
      </c>
      <c r="L21" s="103">
        <v>183</v>
      </c>
      <c r="M21" s="103">
        <v>1</v>
      </c>
      <c r="N21" s="103">
        <v>103</v>
      </c>
      <c r="O21" s="103">
        <v>182</v>
      </c>
      <c r="P21" s="103">
        <v>314</v>
      </c>
      <c r="Q21" s="103">
        <v>0</v>
      </c>
      <c r="R21" s="103">
        <v>125</v>
      </c>
      <c r="S21" s="103">
        <v>57</v>
      </c>
      <c r="T21" s="103">
        <v>1</v>
      </c>
      <c r="U21" s="103">
        <v>1</v>
      </c>
      <c r="V21" s="103">
        <v>1</v>
      </c>
      <c r="W21" s="103">
        <v>31</v>
      </c>
      <c r="X21" s="103">
        <v>34</v>
      </c>
      <c r="Y21" s="103">
        <v>1</v>
      </c>
      <c r="Z21" s="103">
        <v>1</v>
      </c>
      <c r="AA21" s="103">
        <v>1</v>
      </c>
      <c r="AB21" s="103">
        <v>214</v>
      </c>
      <c r="AC21" s="103">
        <v>0</v>
      </c>
      <c r="AD21" s="103">
        <v>231</v>
      </c>
      <c r="AE21" s="103">
        <v>31</v>
      </c>
      <c r="AF21" s="103">
        <v>1</v>
      </c>
      <c r="AG21" s="103">
        <v>305</v>
      </c>
      <c r="AH21" s="110">
        <f t="shared" si="4"/>
        <v>97.833333333333329</v>
      </c>
      <c r="AI21" s="111">
        <v>10000</v>
      </c>
      <c r="AJ21" s="111">
        <v>5366</v>
      </c>
      <c r="AK21" s="112">
        <f t="shared" si="2"/>
        <v>0.53659999999999997</v>
      </c>
      <c r="AL21" s="113">
        <f t="shared" si="3"/>
        <v>4634</v>
      </c>
    </row>
    <row r="22" spans="1:38" ht="20">
      <c r="A22" s="99" t="s">
        <v>64</v>
      </c>
      <c r="B22" s="98" t="s">
        <v>65</v>
      </c>
      <c r="C22" s="103">
        <v>0</v>
      </c>
      <c r="D22" s="103">
        <v>69</v>
      </c>
      <c r="E22" s="103">
        <v>366</v>
      </c>
      <c r="F22" s="103">
        <v>162</v>
      </c>
      <c r="G22" s="103">
        <v>301</v>
      </c>
      <c r="H22" s="103">
        <v>288</v>
      </c>
      <c r="I22" s="103">
        <v>0</v>
      </c>
      <c r="J22" s="103">
        <v>50</v>
      </c>
      <c r="K22" s="103">
        <v>108</v>
      </c>
      <c r="L22" s="103">
        <v>286</v>
      </c>
      <c r="M22" s="103">
        <v>144</v>
      </c>
      <c r="N22" s="103">
        <v>1</v>
      </c>
      <c r="O22" s="103">
        <v>272</v>
      </c>
      <c r="P22" s="103">
        <v>319</v>
      </c>
      <c r="Q22" s="103">
        <v>0</v>
      </c>
      <c r="R22" s="103">
        <v>179</v>
      </c>
      <c r="S22" s="103">
        <v>1</v>
      </c>
      <c r="T22" s="103">
        <v>1</v>
      </c>
      <c r="U22" s="103">
        <v>0</v>
      </c>
      <c r="V22" s="103">
        <v>44</v>
      </c>
      <c r="W22" s="103">
        <v>342</v>
      </c>
      <c r="X22" s="103">
        <v>166</v>
      </c>
      <c r="Y22" s="103">
        <v>0</v>
      </c>
      <c r="Z22" s="103">
        <v>0</v>
      </c>
      <c r="AA22" s="103">
        <v>0</v>
      </c>
      <c r="AB22" s="103">
        <v>0</v>
      </c>
      <c r="AC22" s="103">
        <v>0</v>
      </c>
      <c r="AD22" s="103">
        <v>0</v>
      </c>
      <c r="AE22" s="103">
        <v>0</v>
      </c>
      <c r="AF22" s="103">
        <v>0</v>
      </c>
      <c r="AG22" s="103">
        <v>9</v>
      </c>
      <c r="AH22" s="110">
        <f t="shared" si="4"/>
        <v>103.3</v>
      </c>
      <c r="AI22" s="111">
        <v>10000</v>
      </c>
      <c r="AJ22" s="111">
        <v>3626</v>
      </c>
      <c r="AK22" s="112">
        <f t="shared" si="2"/>
        <v>0.36259999999999998</v>
      </c>
      <c r="AL22" s="113">
        <f t="shared" si="3"/>
        <v>6374</v>
      </c>
    </row>
    <row r="23" spans="1:38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10" t="e">
        <f t="shared" si="4"/>
        <v>#DIV/0!</v>
      </c>
      <c r="AI23" s="111">
        <v>10000</v>
      </c>
      <c r="AJ23" s="111">
        <f t="shared" si="1"/>
        <v>0</v>
      </c>
      <c r="AK23" s="112">
        <f>AJ23/AI23</f>
        <v>0</v>
      </c>
      <c r="AL23" s="113">
        <f>AI23-AJ23</f>
        <v>10000</v>
      </c>
    </row>
    <row r="24" spans="1:38" s="116" customFormat="1" ht="28.5" customHeight="1">
      <c r="B24" s="124" t="s">
        <v>70</v>
      </c>
      <c r="C24" s="118">
        <f t="shared" ref="C24:Q24" si="6">SUM(C6:C22)</f>
        <v>1941</v>
      </c>
      <c r="D24" s="118">
        <f t="shared" si="6"/>
        <v>2218</v>
      </c>
      <c r="E24" s="118">
        <f t="shared" si="6"/>
        <v>2294</v>
      </c>
      <c r="F24" s="118">
        <f t="shared" si="6"/>
        <v>1671</v>
      </c>
      <c r="G24" s="118">
        <f t="shared" si="6"/>
        <v>4657</v>
      </c>
      <c r="H24" s="118">
        <f t="shared" si="6"/>
        <v>2399</v>
      </c>
      <c r="I24" s="118">
        <f t="shared" si="6"/>
        <v>2454</v>
      </c>
      <c r="J24" s="118">
        <f t="shared" si="6"/>
        <v>3292</v>
      </c>
      <c r="K24" s="118">
        <f t="shared" si="6"/>
        <v>3140</v>
      </c>
      <c r="L24" s="118">
        <f t="shared" si="6"/>
        <v>3307</v>
      </c>
      <c r="M24" s="118">
        <f t="shared" si="6"/>
        <v>3530</v>
      </c>
      <c r="N24" s="118">
        <f t="shared" si="6"/>
        <v>2202</v>
      </c>
      <c r="O24" s="118">
        <f t="shared" si="6"/>
        <v>2081</v>
      </c>
      <c r="P24" s="118">
        <f t="shared" si="6"/>
        <v>1937</v>
      </c>
      <c r="Q24" s="118">
        <f t="shared" si="6"/>
        <v>2529</v>
      </c>
      <c r="R24" s="118">
        <f>SUM(Q6:Q22)</f>
        <v>2529</v>
      </c>
      <c r="S24" s="118">
        <f>SUM(R6:R22)</f>
        <v>2906</v>
      </c>
      <c r="T24" s="118">
        <f t="shared" ref="T24:AF24" si="7">SUM(T6:T22)</f>
        <v>2219</v>
      </c>
      <c r="U24" s="118">
        <f t="shared" si="7"/>
        <v>1785</v>
      </c>
      <c r="V24" s="118">
        <f t="shared" si="7"/>
        <v>1133</v>
      </c>
      <c r="W24" s="118">
        <f t="shared" si="7"/>
        <v>1521</v>
      </c>
      <c r="X24" s="118">
        <f t="shared" si="7"/>
        <v>3463</v>
      </c>
      <c r="Y24" s="118">
        <f>SUM(Y6:Y21)</f>
        <v>2395</v>
      </c>
      <c r="Z24" s="118">
        <f t="shared" si="7"/>
        <v>337</v>
      </c>
      <c r="AA24" s="118">
        <f t="shared" si="7"/>
        <v>844</v>
      </c>
      <c r="AB24" s="118">
        <f t="shared" si="7"/>
        <v>422</v>
      </c>
      <c r="AC24" s="118">
        <f t="shared" si="7"/>
        <v>420</v>
      </c>
      <c r="AD24" s="118">
        <f t="shared" si="7"/>
        <v>575</v>
      </c>
      <c r="AE24" s="118">
        <f t="shared" si="7"/>
        <v>3188</v>
      </c>
      <c r="AF24" s="118">
        <f t="shared" si="7"/>
        <v>4003</v>
      </c>
      <c r="AG24" s="118">
        <f t="shared" ref="AG24" si="8">SUM(AG6:AG22)</f>
        <v>2223</v>
      </c>
      <c r="AH24" s="119"/>
      <c r="AI24" s="121">
        <f>SUM(AI6:AI22)</f>
        <v>170000</v>
      </c>
      <c r="AJ24" s="121">
        <f>SUM(AJ6:AJ22)</f>
        <v>73730</v>
      </c>
      <c r="AK24" s="122">
        <f>AJ24/AI24</f>
        <v>0.43370588235294116</v>
      </c>
      <c r="AL24" s="119"/>
    </row>
    <row r="25" spans="1:38" s="116" customFormat="1" ht="28.5" customHeight="1">
      <c r="B25" s="124" t="s">
        <v>83</v>
      </c>
      <c r="C25" s="117">
        <v>3150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>
        <v>3150</v>
      </c>
      <c r="AH25" s="119"/>
      <c r="AI25" s="227">
        <f>AVERAGE(AI6:AI22)</f>
        <v>10000</v>
      </c>
      <c r="AJ25" s="227">
        <f>AVERAGE(AJ6:AJ22)</f>
        <v>4337.0588235294117</v>
      </c>
    </row>
    <row r="26" spans="1:38" s="116" customFormat="1" ht="15">
      <c r="B26" s="124" t="s">
        <v>72</v>
      </c>
      <c r="C26" s="123">
        <f>C27/C28</f>
        <v>0.25372549019607843</v>
      </c>
      <c r="D26" s="123">
        <f t="shared" ref="D26:AF26" si="9">D27/D28</f>
        <v>0.28993464052287582</v>
      </c>
      <c r="E26" s="123">
        <f t="shared" si="9"/>
        <v>0.29986928104575161</v>
      </c>
      <c r="F26" s="123">
        <f t="shared" si="9"/>
        <v>0.21843137254901962</v>
      </c>
      <c r="G26" s="123">
        <f>G27/G28</f>
        <v>0.60875816993464049</v>
      </c>
      <c r="H26" s="123">
        <f t="shared" si="9"/>
        <v>0.31359477124183011</v>
      </c>
      <c r="I26" s="123">
        <f t="shared" si="9"/>
        <v>0.32078431372549016</v>
      </c>
      <c r="J26" s="123">
        <f t="shared" si="9"/>
        <v>0.43032679738562091</v>
      </c>
      <c r="K26" s="123">
        <f t="shared" si="9"/>
        <v>0.41045751633986932</v>
      </c>
      <c r="L26" s="123">
        <f t="shared" si="9"/>
        <v>0.43228758169934639</v>
      </c>
      <c r="M26" s="123">
        <f t="shared" si="9"/>
        <v>0.46143790849673205</v>
      </c>
      <c r="N26" s="123">
        <f t="shared" si="9"/>
        <v>0.28784313725490196</v>
      </c>
      <c r="O26" s="123">
        <f t="shared" si="9"/>
        <v>0.27202614379084966</v>
      </c>
      <c r="P26" s="123">
        <f t="shared" si="9"/>
        <v>0.25320261437908498</v>
      </c>
      <c r="Q26" s="123">
        <f t="shared" si="9"/>
        <v>0.33058823529411763</v>
      </c>
      <c r="R26" s="123">
        <f>R27/R28</f>
        <v>0.33058823529411763</v>
      </c>
      <c r="S26" s="123">
        <f t="shared" si="9"/>
        <v>0.37986928104575163</v>
      </c>
      <c r="T26" s="123">
        <f t="shared" si="9"/>
        <v>0.2900653594771242</v>
      </c>
      <c r="U26" s="123">
        <f t="shared" si="9"/>
        <v>0.23333333333333334</v>
      </c>
      <c r="V26" s="123">
        <f t="shared" si="9"/>
        <v>0.14810457516339867</v>
      </c>
      <c r="W26" s="123">
        <f t="shared" si="9"/>
        <v>0.1988235294117647</v>
      </c>
      <c r="X26" s="123">
        <f t="shared" si="9"/>
        <v>0.45267973856209154</v>
      </c>
      <c r="Y26" s="123">
        <f t="shared" si="9"/>
        <v>0.33263888888888887</v>
      </c>
      <c r="Z26" s="123">
        <f t="shared" si="9"/>
        <v>4.4052287581699351E-2</v>
      </c>
      <c r="AA26" s="123">
        <f t="shared" si="9"/>
        <v>0.11032679738562091</v>
      </c>
      <c r="AB26" s="123">
        <f t="shared" si="9"/>
        <v>5.5163398692810457E-2</v>
      </c>
      <c r="AC26" s="123">
        <f t="shared" si="9"/>
        <v>5.4901960784313725E-2</v>
      </c>
      <c r="AD26" s="123">
        <f t="shared" si="9"/>
        <v>7.5163398692810454E-2</v>
      </c>
      <c r="AE26" s="123">
        <f t="shared" si="9"/>
        <v>0.41673202614379085</v>
      </c>
      <c r="AF26" s="123">
        <f t="shared" si="9"/>
        <v>0.52326797385620916</v>
      </c>
      <c r="AG26" s="123">
        <f t="shared" ref="AG26" si="10">AG27/AG28</f>
        <v>0.29058823529411759</v>
      </c>
      <c r="AH26" s="119"/>
    </row>
    <row r="27" spans="1:38" s="116" customFormat="1" ht="15">
      <c r="B27" s="124" t="s">
        <v>75</v>
      </c>
      <c r="C27" s="118">
        <f>AVERAGE(C6:C22)</f>
        <v>114.17647058823529</v>
      </c>
      <c r="D27" s="118">
        <f t="shared" ref="D27:AF27" si="11">AVERAGE(D6:D22)</f>
        <v>130.47058823529412</v>
      </c>
      <c r="E27" s="118">
        <f t="shared" si="11"/>
        <v>134.94117647058823</v>
      </c>
      <c r="F27" s="118">
        <f t="shared" si="11"/>
        <v>98.294117647058826</v>
      </c>
      <c r="G27" s="118">
        <f>AVERAGE(G6:G22)</f>
        <v>273.94117647058823</v>
      </c>
      <c r="H27" s="118">
        <f t="shared" si="11"/>
        <v>141.11764705882354</v>
      </c>
      <c r="I27" s="118">
        <f t="shared" si="11"/>
        <v>144.35294117647058</v>
      </c>
      <c r="J27" s="118">
        <f t="shared" si="11"/>
        <v>193.64705882352942</v>
      </c>
      <c r="K27" s="118">
        <f t="shared" si="11"/>
        <v>184.70588235294119</v>
      </c>
      <c r="L27" s="118">
        <f t="shared" si="11"/>
        <v>194.52941176470588</v>
      </c>
      <c r="M27" s="118">
        <f t="shared" si="11"/>
        <v>207.64705882352942</v>
      </c>
      <c r="N27" s="118">
        <f t="shared" si="11"/>
        <v>129.52941176470588</v>
      </c>
      <c r="O27" s="118">
        <f t="shared" si="11"/>
        <v>122.41176470588235</v>
      </c>
      <c r="P27" s="118">
        <f t="shared" si="11"/>
        <v>113.94117647058823</v>
      </c>
      <c r="Q27" s="118">
        <f t="shared" si="11"/>
        <v>148.76470588235293</v>
      </c>
      <c r="R27" s="118">
        <f>AVERAGE(Q6:Q22)</f>
        <v>148.76470588235293</v>
      </c>
      <c r="S27" s="118">
        <f>AVERAGE(R6:R22)</f>
        <v>170.94117647058823</v>
      </c>
      <c r="T27" s="118">
        <f t="shared" si="11"/>
        <v>130.52941176470588</v>
      </c>
      <c r="U27" s="118">
        <f t="shared" si="11"/>
        <v>105</v>
      </c>
      <c r="V27" s="118">
        <f t="shared" si="11"/>
        <v>66.647058823529406</v>
      </c>
      <c r="W27" s="118">
        <f t="shared" si="11"/>
        <v>89.470588235294116</v>
      </c>
      <c r="X27" s="118">
        <f t="shared" si="11"/>
        <v>203.70588235294119</v>
      </c>
      <c r="Y27" s="118">
        <f>AVERAGE(Y6:Y21)</f>
        <v>149.6875</v>
      </c>
      <c r="Z27" s="118">
        <f t="shared" si="11"/>
        <v>19.823529411764707</v>
      </c>
      <c r="AA27" s="118">
        <f t="shared" si="11"/>
        <v>49.647058823529413</v>
      </c>
      <c r="AB27" s="118">
        <f t="shared" si="11"/>
        <v>24.823529411764707</v>
      </c>
      <c r="AC27" s="118">
        <f t="shared" si="11"/>
        <v>24.705882352941178</v>
      </c>
      <c r="AD27" s="118">
        <f t="shared" si="11"/>
        <v>33.823529411764703</v>
      </c>
      <c r="AE27" s="118">
        <f t="shared" si="11"/>
        <v>187.52941176470588</v>
      </c>
      <c r="AF27" s="118">
        <f t="shared" si="11"/>
        <v>235.47058823529412</v>
      </c>
      <c r="AG27" s="118">
        <f t="shared" ref="AG27" si="12">AVERAGE(AG6:AG22)</f>
        <v>130.76470588235293</v>
      </c>
      <c r="AH27" s="126"/>
    </row>
    <row r="28" spans="1:38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</row>
    <row r="35" spans="10:10">
      <c r="J35" s="247"/>
    </row>
  </sheetData>
  <mergeCells count="1">
    <mergeCell ref="C1:AF1"/>
  </mergeCells>
  <conditionalFormatting sqref="A8">
    <cfRule type="duplicateValues" dxfId="93" priority="6"/>
  </conditionalFormatting>
  <conditionalFormatting sqref="A10:A11 A7">
    <cfRule type="duplicateValues" dxfId="92" priority="7"/>
  </conditionalFormatting>
  <conditionalFormatting sqref="A13">
    <cfRule type="duplicateValues" dxfId="91" priority="4"/>
  </conditionalFormatting>
  <conditionalFormatting sqref="A14">
    <cfRule type="duplicateValues" dxfId="90" priority="5"/>
  </conditionalFormatting>
  <conditionalFormatting sqref="A16:A17 A12">
    <cfRule type="duplicateValues" dxfId="89" priority="10"/>
  </conditionalFormatting>
  <conditionalFormatting sqref="A22 A15 A9 A3:A6">
    <cfRule type="duplicateValues" dxfId="88" priority="9"/>
  </conditionalFormatting>
  <conditionalFormatting sqref="A23 A18:A20">
    <cfRule type="duplicateValues" dxfId="87" priority="8"/>
  </conditionalFormatting>
  <conditionalFormatting sqref="C3:AG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L3:AL23">
    <cfRule type="cellIs" dxfId="86" priority="2" operator="lessThan">
      <formula>0</formula>
    </cfRule>
    <cfRule type="cellIs" dxfId="85" priority="3" operator="greaterThan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38CC-2AF0-4E2F-AF1F-0AC41F4D65AF}">
  <dimension ref="A1:AK35"/>
  <sheetViews>
    <sheetView zoomScale="69" zoomScaleNormal="69" workbookViewId="0">
      <pane xSplit="1" ySplit="2" topLeftCell="H3" activePane="bottomRight" state="frozen"/>
      <selection pane="topRight" activeCell="B1" sqref="B1"/>
      <selection pane="bottomLeft" activeCell="A3" sqref="A3"/>
      <selection pane="bottomRight" activeCell="AI3" sqref="AI3:AI23"/>
    </sheetView>
  </sheetViews>
  <sheetFormatPr defaultRowHeight="14.5"/>
  <cols>
    <col min="1" max="1" width="16" customWidth="1"/>
    <col min="2" max="2" width="39.36328125" customWidth="1"/>
    <col min="3" max="32" width="6.7265625" customWidth="1"/>
    <col min="33" max="33" width="10.6328125" bestFit="1" customWidth="1"/>
    <col min="34" max="34" width="16.08984375" bestFit="1" customWidth="1"/>
    <col min="35" max="35" width="18.6328125" bestFit="1" customWidth="1"/>
    <col min="36" max="36" width="13.36328125" customWidth="1"/>
    <col min="37" max="37" width="13" customWidth="1"/>
  </cols>
  <sheetData>
    <row r="1" spans="1:37" ht="35.25" customHeight="1">
      <c r="B1" s="127" t="s">
        <v>161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</row>
    <row r="2" spans="1:37" ht="73.5" customHeight="1">
      <c r="A2" s="60" t="s">
        <v>4</v>
      </c>
      <c r="B2" s="61" t="s">
        <v>5</v>
      </c>
      <c r="C2" s="100">
        <v>45231</v>
      </c>
      <c r="D2" s="100">
        <v>45232</v>
      </c>
      <c r="E2" s="100">
        <v>45233</v>
      </c>
      <c r="F2" s="100">
        <v>45234</v>
      </c>
      <c r="G2" s="100">
        <v>45235</v>
      </c>
      <c r="H2" s="100">
        <v>45236</v>
      </c>
      <c r="I2" s="100">
        <v>45237</v>
      </c>
      <c r="J2" s="100">
        <v>45238</v>
      </c>
      <c r="K2" s="100">
        <v>45239</v>
      </c>
      <c r="L2" s="100">
        <v>45240</v>
      </c>
      <c r="M2" s="100">
        <v>45241</v>
      </c>
      <c r="N2" s="100">
        <v>45242</v>
      </c>
      <c r="O2" s="100">
        <v>45243</v>
      </c>
      <c r="P2" s="100">
        <v>45244</v>
      </c>
      <c r="Q2" s="100">
        <v>45245</v>
      </c>
      <c r="R2" s="100">
        <v>45246</v>
      </c>
      <c r="S2" s="100">
        <v>45247</v>
      </c>
      <c r="T2" s="100">
        <v>45248</v>
      </c>
      <c r="U2" s="100">
        <v>45249</v>
      </c>
      <c r="V2" s="100">
        <v>45250</v>
      </c>
      <c r="W2" s="100">
        <v>45251</v>
      </c>
      <c r="X2" s="100">
        <v>45252</v>
      </c>
      <c r="Y2" s="100">
        <v>45253</v>
      </c>
      <c r="Z2" s="100">
        <v>45254</v>
      </c>
      <c r="AA2" s="100">
        <v>45255</v>
      </c>
      <c r="AB2" s="100">
        <v>45256</v>
      </c>
      <c r="AC2" s="100">
        <v>45257</v>
      </c>
      <c r="AD2" s="100">
        <v>45258</v>
      </c>
      <c r="AE2" s="100">
        <v>45259</v>
      </c>
      <c r="AF2" s="100">
        <v>45260</v>
      </c>
      <c r="AG2" s="101" t="s">
        <v>79</v>
      </c>
      <c r="AH2" s="106" t="s">
        <v>18</v>
      </c>
      <c r="AI2" s="125" t="s">
        <v>77</v>
      </c>
      <c r="AJ2" s="107" t="s">
        <v>20</v>
      </c>
      <c r="AK2" s="108" t="s">
        <v>78</v>
      </c>
    </row>
    <row r="3" spans="1:37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10">
        <f t="shared" ref="AG3:AG10" si="0">AVERAGE(C3:AF3)</f>
        <v>0</v>
      </c>
      <c r="AH3" s="111">
        <v>10000</v>
      </c>
      <c r="AI3" s="111">
        <f t="shared" ref="AI3:AI23" si="1">SUM(C3:AF3)</f>
        <v>0</v>
      </c>
      <c r="AJ3" s="112">
        <f>AI3/AH3</f>
        <v>0</v>
      </c>
      <c r="AK3" s="113">
        <f>AH3-AI3</f>
        <v>10000</v>
      </c>
    </row>
    <row r="4" spans="1:37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10">
        <f t="shared" si="0"/>
        <v>0</v>
      </c>
      <c r="AH4" s="111">
        <v>10000</v>
      </c>
      <c r="AI4" s="111">
        <f t="shared" si="1"/>
        <v>0</v>
      </c>
      <c r="AJ4" s="112">
        <f t="shared" ref="AJ4:AJ22" si="2">AI4/AH4</f>
        <v>0</v>
      </c>
      <c r="AK4" s="113">
        <f t="shared" ref="AK4:AK22" si="3">AH4-AI4</f>
        <v>10000</v>
      </c>
    </row>
    <row r="5" spans="1:37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10">
        <f t="shared" si="0"/>
        <v>0</v>
      </c>
      <c r="AH5" s="111">
        <v>10000</v>
      </c>
      <c r="AI5" s="111">
        <f t="shared" si="1"/>
        <v>0</v>
      </c>
      <c r="AJ5" s="112">
        <f t="shared" si="2"/>
        <v>0</v>
      </c>
      <c r="AK5" s="113">
        <f t="shared" si="3"/>
        <v>10000</v>
      </c>
    </row>
    <row r="6" spans="1:37" ht="20">
      <c r="A6" s="99" t="s">
        <v>33</v>
      </c>
      <c r="B6" s="98" t="s">
        <v>34</v>
      </c>
      <c r="C6" s="103">
        <v>0</v>
      </c>
      <c r="D6" s="103">
        <v>0</v>
      </c>
      <c r="E6" s="103">
        <v>0</v>
      </c>
      <c r="F6" s="103">
        <v>0</v>
      </c>
      <c r="G6" s="103">
        <v>0</v>
      </c>
      <c r="H6" s="103">
        <v>0</v>
      </c>
      <c r="I6" s="103">
        <v>0</v>
      </c>
      <c r="J6" s="103">
        <v>0</v>
      </c>
      <c r="K6" s="103">
        <v>0</v>
      </c>
      <c r="L6" s="103">
        <v>0</v>
      </c>
      <c r="M6" s="103">
        <v>0</v>
      </c>
      <c r="N6" s="103">
        <v>0</v>
      </c>
      <c r="O6" s="103">
        <v>0</v>
      </c>
      <c r="P6" s="103">
        <v>0</v>
      </c>
      <c r="Q6" s="103">
        <v>0</v>
      </c>
      <c r="R6" s="103">
        <v>0</v>
      </c>
      <c r="S6" s="103">
        <v>0</v>
      </c>
      <c r="T6" s="103">
        <v>1</v>
      </c>
      <c r="U6" s="103">
        <v>0</v>
      </c>
      <c r="V6" s="103">
        <v>0</v>
      </c>
      <c r="W6" s="103">
        <v>0</v>
      </c>
      <c r="X6" s="103">
        <v>0</v>
      </c>
      <c r="Y6" s="103">
        <v>1</v>
      </c>
      <c r="Z6" s="103">
        <v>30</v>
      </c>
      <c r="AA6" s="103">
        <v>15</v>
      </c>
      <c r="AB6" s="103">
        <v>32</v>
      </c>
      <c r="AC6" s="103">
        <v>516</v>
      </c>
      <c r="AD6" s="103">
        <v>242</v>
      </c>
      <c r="AE6" s="103">
        <v>116</v>
      </c>
      <c r="AF6" s="103">
        <v>76</v>
      </c>
      <c r="AG6" s="110">
        <f t="shared" si="0"/>
        <v>34.299999999999997</v>
      </c>
      <c r="AH6" s="111">
        <v>10000</v>
      </c>
      <c r="AI6" s="111">
        <f t="shared" si="1"/>
        <v>1029</v>
      </c>
      <c r="AJ6" s="112">
        <f>AI6/AH6</f>
        <v>0.10290000000000001</v>
      </c>
      <c r="AK6" s="113">
        <f t="shared" si="3"/>
        <v>8971</v>
      </c>
    </row>
    <row r="7" spans="1:37" ht="20">
      <c r="A7" s="99" t="s">
        <v>35</v>
      </c>
      <c r="B7" s="98" t="s">
        <v>36</v>
      </c>
      <c r="C7" s="103">
        <v>0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0</v>
      </c>
      <c r="S7" s="103">
        <v>0</v>
      </c>
      <c r="T7" s="103">
        <v>0</v>
      </c>
      <c r="U7" s="103">
        <v>0</v>
      </c>
      <c r="V7" s="103">
        <v>0</v>
      </c>
      <c r="W7" s="103">
        <v>0</v>
      </c>
      <c r="X7" s="103">
        <v>0</v>
      </c>
      <c r="Y7" s="103">
        <v>34</v>
      </c>
      <c r="Z7" s="103">
        <v>548</v>
      </c>
      <c r="AA7" s="103">
        <v>183</v>
      </c>
      <c r="AB7" s="103">
        <v>324</v>
      </c>
      <c r="AC7" s="103">
        <v>68</v>
      </c>
      <c r="AD7" s="103">
        <v>0</v>
      </c>
      <c r="AE7" s="103">
        <v>289</v>
      </c>
      <c r="AF7" s="103">
        <v>148</v>
      </c>
      <c r="AG7" s="110">
        <f t="shared" si="0"/>
        <v>53.133333333333333</v>
      </c>
      <c r="AH7" s="111">
        <v>10000</v>
      </c>
      <c r="AI7" s="111">
        <f t="shared" si="1"/>
        <v>1594</v>
      </c>
      <c r="AJ7" s="112">
        <f t="shared" si="2"/>
        <v>0.15939999999999999</v>
      </c>
      <c r="AK7" s="113">
        <f t="shared" si="3"/>
        <v>8406</v>
      </c>
    </row>
    <row r="8" spans="1:37" ht="20">
      <c r="A8" s="99" t="s">
        <v>37</v>
      </c>
      <c r="B8" s="98" t="s">
        <v>73</v>
      </c>
      <c r="C8" s="103">
        <v>99</v>
      </c>
      <c r="D8" s="103">
        <v>87</v>
      </c>
      <c r="E8" s="103">
        <v>1</v>
      </c>
      <c r="F8" s="103">
        <v>5</v>
      </c>
      <c r="G8" s="103">
        <v>1</v>
      </c>
      <c r="H8" s="103">
        <v>55</v>
      </c>
      <c r="I8" s="103">
        <v>158</v>
      </c>
      <c r="J8" s="103">
        <v>138</v>
      </c>
      <c r="K8" s="103">
        <v>0</v>
      </c>
      <c r="L8" s="103">
        <v>152</v>
      </c>
      <c r="M8" s="103">
        <v>98</v>
      </c>
      <c r="N8" s="103">
        <v>40</v>
      </c>
      <c r="O8" s="103">
        <v>0</v>
      </c>
      <c r="P8" s="103">
        <v>0</v>
      </c>
      <c r="Q8" s="103">
        <v>0</v>
      </c>
      <c r="R8" s="103">
        <v>0</v>
      </c>
      <c r="S8" s="103">
        <v>227</v>
      </c>
      <c r="T8" s="103">
        <v>213</v>
      </c>
      <c r="U8" s="103">
        <v>225</v>
      </c>
      <c r="V8" s="103">
        <v>29</v>
      </c>
      <c r="W8" s="103">
        <v>22</v>
      </c>
      <c r="X8" s="103">
        <v>0</v>
      </c>
      <c r="Y8" s="103">
        <v>0</v>
      </c>
      <c r="Z8" s="103">
        <v>0</v>
      </c>
      <c r="AA8" s="103">
        <v>0</v>
      </c>
      <c r="AB8" s="103">
        <v>29</v>
      </c>
      <c r="AC8" s="103">
        <v>3</v>
      </c>
      <c r="AD8" s="103">
        <v>23</v>
      </c>
      <c r="AE8" s="103">
        <v>31</v>
      </c>
      <c r="AF8" s="103">
        <v>3</v>
      </c>
      <c r="AG8" s="110">
        <f t="shared" si="0"/>
        <v>54.633333333333333</v>
      </c>
      <c r="AH8" s="111">
        <v>10000</v>
      </c>
      <c r="AI8" s="111">
        <f t="shared" si="1"/>
        <v>1639</v>
      </c>
      <c r="AJ8" s="112">
        <f t="shared" si="2"/>
        <v>0.16389999999999999</v>
      </c>
      <c r="AK8" s="113">
        <f t="shared" si="3"/>
        <v>8361</v>
      </c>
    </row>
    <row r="9" spans="1:37" ht="20">
      <c r="A9" s="99" t="s">
        <v>38</v>
      </c>
      <c r="B9" s="98" t="s">
        <v>39</v>
      </c>
      <c r="C9" s="103">
        <v>359</v>
      </c>
      <c r="D9" s="103">
        <v>281</v>
      </c>
      <c r="E9" s="103">
        <v>10</v>
      </c>
      <c r="F9" s="103">
        <v>0</v>
      </c>
      <c r="G9" s="103">
        <v>3</v>
      </c>
      <c r="H9" s="103">
        <v>0</v>
      </c>
      <c r="I9" s="103">
        <v>0</v>
      </c>
      <c r="J9" s="103">
        <v>0</v>
      </c>
      <c r="K9" s="103">
        <v>177</v>
      </c>
      <c r="L9" s="103">
        <v>130</v>
      </c>
      <c r="M9" s="103">
        <v>150</v>
      </c>
      <c r="N9" s="103">
        <v>96</v>
      </c>
      <c r="O9" s="103">
        <v>158</v>
      </c>
      <c r="P9" s="103">
        <v>3</v>
      </c>
      <c r="Q9" s="103">
        <v>223</v>
      </c>
      <c r="R9" s="103">
        <v>155</v>
      </c>
      <c r="S9" s="103">
        <v>315</v>
      </c>
      <c r="T9" s="103">
        <v>0</v>
      </c>
      <c r="U9" s="103">
        <v>3</v>
      </c>
      <c r="V9" s="103">
        <v>0</v>
      </c>
      <c r="W9" s="103">
        <v>0</v>
      </c>
      <c r="X9" s="103">
        <v>156</v>
      </c>
      <c r="Y9" s="103">
        <v>149</v>
      </c>
      <c r="Z9" s="103">
        <v>241</v>
      </c>
      <c r="AA9" s="103">
        <v>145</v>
      </c>
      <c r="AB9" s="103">
        <v>0</v>
      </c>
      <c r="AC9" s="103">
        <v>0</v>
      </c>
      <c r="AD9" s="103">
        <v>234</v>
      </c>
      <c r="AE9" s="103">
        <v>153</v>
      </c>
      <c r="AF9" s="103">
        <v>221</v>
      </c>
      <c r="AG9" s="110">
        <f t="shared" si="0"/>
        <v>112.06666666666666</v>
      </c>
      <c r="AH9" s="111">
        <v>10000</v>
      </c>
      <c r="AI9" s="111">
        <v>3414</v>
      </c>
      <c r="AJ9" s="112">
        <f t="shared" si="2"/>
        <v>0.34139999999999998</v>
      </c>
      <c r="AK9" s="113">
        <f t="shared" si="3"/>
        <v>6586</v>
      </c>
    </row>
    <row r="10" spans="1:37" ht="20">
      <c r="A10" s="200" t="s">
        <v>40</v>
      </c>
      <c r="B10" s="98" t="s">
        <v>68</v>
      </c>
      <c r="C10" s="103">
        <v>311</v>
      </c>
      <c r="D10" s="103">
        <v>0</v>
      </c>
      <c r="E10" s="103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1</v>
      </c>
      <c r="N10" s="103">
        <v>304</v>
      </c>
      <c r="O10" s="103">
        <v>334</v>
      </c>
      <c r="P10" s="103">
        <v>259</v>
      </c>
      <c r="Q10" s="103">
        <v>88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  <c r="AA10" s="103">
        <v>0</v>
      </c>
      <c r="AB10" s="103">
        <v>106</v>
      </c>
      <c r="AC10" s="103">
        <v>132</v>
      </c>
      <c r="AD10" s="103">
        <v>0</v>
      </c>
      <c r="AE10" s="103">
        <v>243</v>
      </c>
      <c r="AF10" s="103">
        <v>77</v>
      </c>
      <c r="AG10" s="110">
        <f t="shared" si="0"/>
        <v>61.833333333333336</v>
      </c>
      <c r="AH10" s="111">
        <v>10000</v>
      </c>
      <c r="AI10" s="111">
        <v>4009</v>
      </c>
      <c r="AJ10" s="112">
        <f t="shared" si="2"/>
        <v>0.40089999999999998</v>
      </c>
      <c r="AK10" s="201">
        <f>AH10-AI10</f>
        <v>5991</v>
      </c>
    </row>
    <row r="11" spans="1:37" ht="20">
      <c r="A11" s="200" t="s">
        <v>41</v>
      </c>
      <c r="B11" s="98" t="s">
        <v>42</v>
      </c>
      <c r="C11" s="103">
        <v>137</v>
      </c>
      <c r="D11" s="103">
        <v>3</v>
      </c>
      <c r="E11" s="103">
        <v>439</v>
      </c>
      <c r="F11" s="103">
        <v>70</v>
      </c>
      <c r="G11" s="103">
        <v>7</v>
      </c>
      <c r="H11" s="103">
        <v>6</v>
      </c>
      <c r="I11" s="103">
        <v>1</v>
      </c>
      <c r="J11" s="103">
        <v>0</v>
      </c>
      <c r="K11" s="103">
        <v>6</v>
      </c>
      <c r="L11" s="103">
        <v>317</v>
      </c>
      <c r="M11" s="103">
        <v>131</v>
      </c>
      <c r="N11" s="103">
        <v>295</v>
      </c>
      <c r="O11" s="103">
        <v>42</v>
      </c>
      <c r="P11" s="103">
        <v>9</v>
      </c>
      <c r="Q11" s="103">
        <v>94</v>
      </c>
      <c r="R11" s="103">
        <v>141</v>
      </c>
      <c r="S11" s="103">
        <v>553</v>
      </c>
      <c r="T11" s="103">
        <v>197</v>
      </c>
      <c r="U11" s="103">
        <v>9</v>
      </c>
      <c r="V11" s="103">
        <v>4</v>
      </c>
      <c r="W11" s="103">
        <v>139</v>
      </c>
      <c r="X11" s="103">
        <v>332</v>
      </c>
      <c r="Y11" s="103">
        <v>150</v>
      </c>
      <c r="Z11" s="103">
        <v>9</v>
      </c>
      <c r="AA11" s="103">
        <v>1</v>
      </c>
      <c r="AB11" s="103">
        <v>1</v>
      </c>
      <c r="AC11" s="103">
        <v>59</v>
      </c>
      <c r="AD11" s="103">
        <v>224</v>
      </c>
      <c r="AE11" s="103">
        <v>164</v>
      </c>
      <c r="AF11" s="103">
        <v>80</v>
      </c>
      <c r="AG11" s="110">
        <v>194</v>
      </c>
      <c r="AH11" s="111">
        <v>10000</v>
      </c>
      <c r="AI11" s="111">
        <v>3792</v>
      </c>
      <c r="AJ11" s="112">
        <v>0.43</v>
      </c>
      <c r="AK11" s="201">
        <v>3334</v>
      </c>
    </row>
    <row r="12" spans="1:37" ht="20">
      <c r="A12" s="99" t="s">
        <v>43</v>
      </c>
      <c r="B12" s="98" t="s">
        <v>44</v>
      </c>
      <c r="C12" s="103">
        <v>279</v>
      </c>
      <c r="D12" s="103">
        <v>306</v>
      </c>
      <c r="E12" s="103">
        <v>212</v>
      </c>
      <c r="F12" s="103">
        <v>286</v>
      </c>
      <c r="G12" s="103">
        <v>1</v>
      </c>
      <c r="H12" s="103">
        <v>0</v>
      </c>
      <c r="I12" s="103">
        <v>1</v>
      </c>
      <c r="J12" s="103">
        <v>0</v>
      </c>
      <c r="K12" s="103">
        <v>0</v>
      </c>
      <c r="L12" s="103">
        <v>373</v>
      </c>
      <c r="M12" s="103">
        <v>377</v>
      </c>
      <c r="N12" s="103">
        <v>0</v>
      </c>
      <c r="O12" s="103">
        <v>133</v>
      </c>
      <c r="P12" s="103">
        <v>3</v>
      </c>
      <c r="Q12" s="103">
        <v>425</v>
      </c>
      <c r="R12" s="103">
        <v>277</v>
      </c>
      <c r="S12" s="103">
        <v>117</v>
      </c>
      <c r="T12" s="103">
        <v>0</v>
      </c>
      <c r="U12" s="103">
        <v>0</v>
      </c>
      <c r="V12" s="103">
        <v>0</v>
      </c>
      <c r="W12" s="103">
        <v>167</v>
      </c>
      <c r="X12" s="103">
        <v>148</v>
      </c>
      <c r="Y12" s="103">
        <v>3</v>
      </c>
      <c r="Z12" s="103">
        <v>188</v>
      </c>
      <c r="AA12" s="103">
        <v>137</v>
      </c>
      <c r="AB12" s="103">
        <v>91</v>
      </c>
      <c r="AC12" s="103">
        <v>222</v>
      </c>
      <c r="AD12" s="103">
        <v>95</v>
      </c>
      <c r="AE12" s="103">
        <v>11</v>
      </c>
      <c r="AF12" s="103">
        <v>171</v>
      </c>
      <c r="AG12" s="110">
        <f t="shared" ref="AG12:AG23" si="4">AVERAGE(C12:AF12)</f>
        <v>134.1</v>
      </c>
      <c r="AH12" s="111">
        <v>10000</v>
      </c>
      <c r="AI12" s="111">
        <v>4339</v>
      </c>
      <c r="AJ12" s="112">
        <f t="shared" si="2"/>
        <v>0.43390000000000001</v>
      </c>
      <c r="AK12" s="113">
        <f t="shared" si="3"/>
        <v>5661</v>
      </c>
    </row>
    <row r="13" spans="1:37" ht="20">
      <c r="A13" s="99" t="s">
        <v>45</v>
      </c>
      <c r="B13" s="98" t="s">
        <v>46</v>
      </c>
      <c r="C13" s="103">
        <v>80</v>
      </c>
      <c r="D13" s="103">
        <v>294</v>
      </c>
      <c r="E13" s="103">
        <v>341</v>
      </c>
      <c r="F13" s="103">
        <v>161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313</v>
      </c>
      <c r="M13" s="103">
        <v>417</v>
      </c>
      <c r="N13" s="103">
        <v>0</v>
      </c>
      <c r="O13" s="103">
        <v>147</v>
      </c>
      <c r="P13" s="103">
        <v>8</v>
      </c>
      <c r="Q13" s="103">
        <v>491</v>
      </c>
      <c r="R13" s="103">
        <v>218</v>
      </c>
      <c r="S13" s="103">
        <v>120</v>
      </c>
      <c r="T13" s="103">
        <v>1</v>
      </c>
      <c r="U13" s="103">
        <v>1</v>
      </c>
      <c r="V13" s="103">
        <v>141</v>
      </c>
      <c r="W13" s="103">
        <v>336</v>
      </c>
      <c r="X13" s="103">
        <v>153</v>
      </c>
      <c r="Y13" s="103">
        <v>92</v>
      </c>
      <c r="Z13" s="103">
        <v>99</v>
      </c>
      <c r="AA13" s="103">
        <v>236</v>
      </c>
      <c r="AB13" s="103">
        <v>0</v>
      </c>
      <c r="AC13" s="103">
        <v>237</v>
      </c>
      <c r="AD13" s="103">
        <v>80</v>
      </c>
      <c r="AE13" s="103">
        <v>12</v>
      </c>
      <c r="AF13" s="103">
        <v>180</v>
      </c>
      <c r="AG13" s="110">
        <f t="shared" si="4"/>
        <v>138.6</v>
      </c>
      <c r="AH13" s="111">
        <v>10000</v>
      </c>
      <c r="AI13" s="111">
        <f t="shared" si="1"/>
        <v>4158</v>
      </c>
      <c r="AJ13" s="112">
        <f t="shared" si="2"/>
        <v>0.4158</v>
      </c>
      <c r="AK13" s="113">
        <f t="shared" si="3"/>
        <v>5842</v>
      </c>
    </row>
    <row r="14" spans="1:37" ht="20">
      <c r="A14" s="99" t="s">
        <v>47</v>
      </c>
      <c r="B14" s="98" t="s">
        <v>48</v>
      </c>
      <c r="C14" s="103">
        <v>461</v>
      </c>
      <c r="D14" s="103">
        <v>93</v>
      </c>
      <c r="E14" s="103">
        <v>31</v>
      </c>
      <c r="F14" s="103">
        <v>1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314</v>
      </c>
      <c r="M14" s="103">
        <v>419</v>
      </c>
      <c r="N14" s="103">
        <v>0</v>
      </c>
      <c r="O14" s="103">
        <v>144</v>
      </c>
      <c r="P14" s="103">
        <v>3</v>
      </c>
      <c r="Q14" s="103">
        <v>500</v>
      </c>
      <c r="R14" s="103">
        <v>219</v>
      </c>
      <c r="S14" s="103">
        <v>123</v>
      </c>
      <c r="T14" s="103">
        <v>0</v>
      </c>
      <c r="U14" s="103">
        <v>0</v>
      </c>
      <c r="V14" s="103">
        <v>150</v>
      </c>
      <c r="W14" s="103">
        <v>336</v>
      </c>
      <c r="X14" s="103">
        <v>153</v>
      </c>
      <c r="Y14" s="103">
        <v>92</v>
      </c>
      <c r="Z14" s="103">
        <v>99</v>
      </c>
      <c r="AA14" s="103">
        <v>236</v>
      </c>
      <c r="AB14" s="103">
        <v>0</v>
      </c>
      <c r="AC14" s="103">
        <v>237</v>
      </c>
      <c r="AD14" s="103">
        <v>80</v>
      </c>
      <c r="AE14" s="103">
        <v>12</v>
      </c>
      <c r="AF14" s="103">
        <v>180</v>
      </c>
      <c r="AG14" s="110">
        <f t="shared" si="4"/>
        <v>129.43333333333334</v>
      </c>
      <c r="AH14" s="111">
        <v>10000</v>
      </c>
      <c r="AI14" s="111">
        <v>4101</v>
      </c>
      <c r="AJ14" s="112">
        <f t="shared" si="2"/>
        <v>0.41010000000000002</v>
      </c>
      <c r="AK14" s="113">
        <f t="shared" si="3"/>
        <v>5899</v>
      </c>
    </row>
    <row r="15" spans="1:37" ht="20">
      <c r="A15" s="99" t="s">
        <v>49</v>
      </c>
      <c r="B15" s="98" t="s">
        <v>50</v>
      </c>
      <c r="C15" s="103">
        <v>15</v>
      </c>
      <c r="D15" s="103">
        <v>202</v>
      </c>
      <c r="E15" s="103">
        <v>2</v>
      </c>
      <c r="F15" s="103">
        <v>0</v>
      </c>
      <c r="G15" s="103">
        <v>5</v>
      </c>
      <c r="H15" s="103">
        <v>1</v>
      </c>
      <c r="I15" s="103">
        <v>1</v>
      </c>
      <c r="J15" s="103">
        <v>0</v>
      </c>
      <c r="K15" s="103">
        <v>173</v>
      </c>
      <c r="L15" s="103">
        <v>146</v>
      </c>
      <c r="M15" s="103">
        <v>90</v>
      </c>
      <c r="N15" s="103">
        <v>227</v>
      </c>
      <c r="O15" s="103">
        <v>271</v>
      </c>
      <c r="P15" s="103">
        <v>129</v>
      </c>
      <c r="Q15" s="103">
        <v>0</v>
      </c>
      <c r="R15" s="103">
        <v>122</v>
      </c>
      <c r="S15" s="103">
        <v>219</v>
      </c>
      <c r="T15" s="103">
        <v>1</v>
      </c>
      <c r="U15" s="103">
        <v>4</v>
      </c>
      <c r="V15" s="103">
        <v>1</v>
      </c>
      <c r="W15" s="103">
        <v>0</v>
      </c>
      <c r="X15" s="103">
        <v>127</v>
      </c>
      <c r="Y15" s="103">
        <v>238</v>
      </c>
      <c r="Z15" s="103">
        <v>184</v>
      </c>
      <c r="AA15" s="103">
        <v>144</v>
      </c>
      <c r="AB15" s="103">
        <v>0</v>
      </c>
      <c r="AC15" s="103">
        <v>0</v>
      </c>
      <c r="AD15" s="103">
        <v>231</v>
      </c>
      <c r="AE15" s="103">
        <v>93</v>
      </c>
      <c r="AF15" s="103">
        <v>147</v>
      </c>
      <c r="AG15" s="110">
        <f t="shared" si="4"/>
        <v>92.433333333333337</v>
      </c>
      <c r="AH15" s="111">
        <v>10000</v>
      </c>
      <c r="AI15" s="111">
        <v>3025</v>
      </c>
      <c r="AJ15" s="112">
        <f t="shared" si="2"/>
        <v>0.30249999999999999</v>
      </c>
      <c r="AK15" s="113">
        <f t="shared" si="3"/>
        <v>6975</v>
      </c>
    </row>
    <row r="16" spans="1:37" ht="20">
      <c r="A16" s="99" t="s">
        <v>51</v>
      </c>
      <c r="B16" s="98" t="s">
        <v>52</v>
      </c>
      <c r="C16" s="103">
        <v>76</v>
      </c>
      <c r="D16" s="103">
        <v>0</v>
      </c>
      <c r="E16" s="103">
        <v>11</v>
      </c>
      <c r="F16" s="103">
        <v>1</v>
      </c>
      <c r="G16" s="103">
        <v>5</v>
      </c>
      <c r="H16" s="103">
        <v>2</v>
      </c>
      <c r="I16" s="103">
        <v>0</v>
      </c>
      <c r="J16" s="103">
        <v>0</v>
      </c>
      <c r="K16" s="103">
        <v>119</v>
      </c>
      <c r="L16" s="103">
        <v>147</v>
      </c>
      <c r="M16" s="103">
        <v>147</v>
      </c>
      <c r="N16" s="103">
        <v>128</v>
      </c>
      <c r="O16" s="103">
        <v>168</v>
      </c>
      <c r="P16" s="103">
        <v>5</v>
      </c>
      <c r="Q16" s="103">
        <v>220</v>
      </c>
      <c r="R16" s="103">
        <v>207</v>
      </c>
      <c r="S16" s="103">
        <v>72</v>
      </c>
      <c r="T16" s="103">
        <v>173</v>
      </c>
      <c r="U16" s="103">
        <v>0</v>
      </c>
      <c r="V16" s="103">
        <v>0</v>
      </c>
      <c r="W16" s="103">
        <v>3</v>
      </c>
      <c r="X16" s="103">
        <v>0</v>
      </c>
      <c r="Y16" s="103">
        <v>14</v>
      </c>
      <c r="Z16" s="103">
        <v>0</v>
      </c>
      <c r="AA16" s="103">
        <v>0</v>
      </c>
      <c r="AB16" s="103">
        <v>0</v>
      </c>
      <c r="AC16" s="103">
        <v>0</v>
      </c>
      <c r="AD16" s="103">
        <v>153</v>
      </c>
      <c r="AE16" s="103">
        <v>188</v>
      </c>
      <c r="AF16" s="103">
        <v>0</v>
      </c>
      <c r="AG16" s="110">
        <f t="shared" si="4"/>
        <v>61.3</v>
      </c>
      <c r="AH16" s="111">
        <v>10000</v>
      </c>
      <c r="AI16" s="111">
        <f t="shared" si="1"/>
        <v>1839</v>
      </c>
      <c r="AJ16" s="112">
        <f t="shared" si="2"/>
        <v>0.18390000000000001</v>
      </c>
      <c r="AK16" s="113">
        <f t="shared" si="3"/>
        <v>8161</v>
      </c>
    </row>
    <row r="17" spans="1:37" ht="20">
      <c r="A17" s="109" t="s">
        <v>53</v>
      </c>
      <c r="B17" s="98" t="s">
        <v>54</v>
      </c>
      <c r="C17" s="103">
        <v>295</v>
      </c>
      <c r="D17" s="103">
        <v>205</v>
      </c>
      <c r="E17" s="103">
        <v>3</v>
      </c>
      <c r="F17" s="103">
        <v>1</v>
      </c>
      <c r="G17" s="103">
        <v>1</v>
      </c>
      <c r="H17" s="103">
        <v>1</v>
      </c>
      <c r="I17" s="103">
        <v>0</v>
      </c>
      <c r="J17" s="103">
        <v>1</v>
      </c>
      <c r="K17" s="103">
        <v>182</v>
      </c>
      <c r="L17" s="103">
        <v>128</v>
      </c>
      <c r="M17" s="103">
        <v>10</v>
      </c>
      <c r="N17" s="103">
        <v>0</v>
      </c>
      <c r="O17" s="103">
        <v>0</v>
      </c>
      <c r="P17" s="103">
        <v>279</v>
      </c>
      <c r="Q17" s="103">
        <v>92</v>
      </c>
      <c r="R17" s="103">
        <v>14</v>
      </c>
      <c r="S17" s="103">
        <v>218</v>
      </c>
      <c r="T17" s="103">
        <v>136</v>
      </c>
      <c r="U17" s="103">
        <v>0</v>
      </c>
      <c r="V17" s="103">
        <v>114</v>
      </c>
      <c r="W17" s="103">
        <v>0</v>
      </c>
      <c r="X17" s="103">
        <v>132</v>
      </c>
      <c r="Y17" s="103">
        <v>71</v>
      </c>
      <c r="Z17" s="103">
        <v>1</v>
      </c>
      <c r="AA17" s="103">
        <v>0</v>
      </c>
      <c r="AB17" s="103">
        <v>0</v>
      </c>
      <c r="AC17" s="103">
        <v>1</v>
      </c>
      <c r="AD17" s="103">
        <v>10</v>
      </c>
      <c r="AE17" s="103">
        <v>310</v>
      </c>
      <c r="AF17" s="103">
        <v>1</v>
      </c>
      <c r="AG17" s="110">
        <f t="shared" si="4"/>
        <v>73.533333333333331</v>
      </c>
      <c r="AH17" s="111">
        <v>10000</v>
      </c>
      <c r="AI17" s="111">
        <f t="shared" si="1"/>
        <v>2206</v>
      </c>
      <c r="AJ17" s="112">
        <f t="shared" si="2"/>
        <v>0.22059999999999999</v>
      </c>
      <c r="AK17" s="113">
        <f t="shared" si="3"/>
        <v>7794</v>
      </c>
    </row>
    <row r="18" spans="1:37" ht="20">
      <c r="A18" s="99" t="s">
        <v>55</v>
      </c>
      <c r="B18" s="98" t="s">
        <v>68</v>
      </c>
      <c r="C18" s="103">
        <v>520</v>
      </c>
      <c r="D18" s="103">
        <v>105</v>
      </c>
      <c r="E18" s="103">
        <v>34</v>
      </c>
      <c r="F18" s="103">
        <v>1</v>
      </c>
      <c r="G18" s="103">
        <v>3</v>
      </c>
      <c r="H18" s="103">
        <v>2</v>
      </c>
      <c r="I18" s="103">
        <v>1</v>
      </c>
      <c r="J18" s="103">
        <v>2</v>
      </c>
      <c r="K18" s="103">
        <v>2</v>
      </c>
      <c r="L18" s="103">
        <v>313</v>
      </c>
      <c r="M18" s="103">
        <v>370</v>
      </c>
      <c r="N18" s="103">
        <v>154</v>
      </c>
      <c r="O18" s="103">
        <v>45</v>
      </c>
      <c r="P18" s="103">
        <v>4</v>
      </c>
      <c r="Q18" s="103">
        <v>495</v>
      </c>
      <c r="R18" s="103">
        <v>215</v>
      </c>
      <c r="S18" s="103">
        <v>123</v>
      </c>
      <c r="T18" s="103">
        <v>2</v>
      </c>
      <c r="U18" s="103">
        <v>3</v>
      </c>
      <c r="V18" s="103">
        <v>3</v>
      </c>
      <c r="W18" s="103">
        <v>282</v>
      </c>
      <c r="X18" s="103">
        <v>345</v>
      </c>
      <c r="Y18" s="103">
        <v>3</v>
      </c>
      <c r="Z18" s="103">
        <v>191</v>
      </c>
      <c r="AA18" s="103">
        <v>288</v>
      </c>
      <c r="AB18" s="103">
        <v>56</v>
      </c>
      <c r="AC18" s="103">
        <v>114</v>
      </c>
      <c r="AD18" s="103">
        <v>96</v>
      </c>
      <c r="AE18" s="103">
        <v>10</v>
      </c>
      <c r="AF18" s="103">
        <v>152</v>
      </c>
      <c r="AG18" s="110">
        <f t="shared" si="4"/>
        <v>131.13333333333333</v>
      </c>
      <c r="AH18" s="111">
        <v>10000</v>
      </c>
      <c r="AI18" s="111">
        <v>4024</v>
      </c>
      <c r="AJ18" s="112">
        <f t="shared" si="2"/>
        <v>0.40239999999999998</v>
      </c>
      <c r="AK18" s="113">
        <f t="shared" si="3"/>
        <v>5976</v>
      </c>
    </row>
    <row r="19" spans="1:37" ht="20">
      <c r="A19" s="115" t="s">
        <v>58</v>
      </c>
      <c r="B19" s="98" t="s">
        <v>59</v>
      </c>
      <c r="C19" s="103">
        <v>255</v>
      </c>
      <c r="D19" s="103">
        <v>289</v>
      </c>
      <c r="E19" s="103">
        <v>303</v>
      </c>
      <c r="F19" s="103">
        <v>32</v>
      </c>
      <c r="G19" s="103">
        <v>1</v>
      </c>
      <c r="H19" s="103">
        <v>0</v>
      </c>
      <c r="I19" s="103">
        <v>0</v>
      </c>
      <c r="J19" s="103">
        <v>0</v>
      </c>
      <c r="K19" s="103">
        <v>1</v>
      </c>
      <c r="L19" s="103">
        <v>313</v>
      </c>
      <c r="M19" s="103">
        <v>215</v>
      </c>
      <c r="N19" s="103">
        <v>243</v>
      </c>
      <c r="O19" s="103">
        <v>84</v>
      </c>
      <c r="P19" s="103">
        <v>47</v>
      </c>
      <c r="Q19" s="103">
        <v>426</v>
      </c>
      <c r="R19" s="103">
        <v>284</v>
      </c>
      <c r="S19" s="103">
        <v>120</v>
      </c>
      <c r="T19" s="103">
        <v>1</v>
      </c>
      <c r="U19" s="103">
        <v>2</v>
      </c>
      <c r="V19" s="103">
        <v>142</v>
      </c>
      <c r="W19" s="103">
        <v>335</v>
      </c>
      <c r="X19" s="103">
        <v>150</v>
      </c>
      <c r="Y19" s="103">
        <v>92</v>
      </c>
      <c r="Z19" s="103">
        <v>107</v>
      </c>
      <c r="AA19" s="103">
        <v>130</v>
      </c>
      <c r="AB19" s="103">
        <v>84</v>
      </c>
      <c r="AC19" s="103">
        <v>238</v>
      </c>
      <c r="AD19" s="103">
        <v>92</v>
      </c>
      <c r="AE19" s="103">
        <v>12</v>
      </c>
      <c r="AF19" s="103">
        <v>82</v>
      </c>
      <c r="AG19" s="110">
        <f t="shared" si="4"/>
        <v>136</v>
      </c>
      <c r="AH19" s="111">
        <v>10000</v>
      </c>
      <c r="AI19" s="111">
        <v>4114</v>
      </c>
      <c r="AJ19" s="112">
        <f t="shared" si="2"/>
        <v>0.41139999999999999</v>
      </c>
      <c r="AK19" s="113">
        <f t="shared" si="3"/>
        <v>5886</v>
      </c>
    </row>
    <row r="20" spans="1:37" ht="20">
      <c r="A20" s="99" t="s">
        <v>60</v>
      </c>
      <c r="B20" s="98" t="s">
        <v>61</v>
      </c>
      <c r="C20" s="103">
        <v>231</v>
      </c>
      <c r="D20" s="103">
        <v>590</v>
      </c>
      <c r="E20" s="103">
        <v>255</v>
      </c>
      <c r="F20" s="103">
        <v>63</v>
      </c>
      <c r="G20" s="103">
        <v>1</v>
      </c>
      <c r="H20" s="103">
        <v>1</v>
      </c>
      <c r="I20" s="103">
        <v>1</v>
      </c>
      <c r="J20" s="103">
        <v>1</v>
      </c>
      <c r="K20" s="103">
        <v>0</v>
      </c>
      <c r="L20" s="103">
        <v>1</v>
      </c>
      <c r="M20" s="103">
        <v>275</v>
      </c>
      <c r="N20" s="103">
        <v>339</v>
      </c>
      <c r="O20" s="103">
        <v>269</v>
      </c>
      <c r="P20" s="103">
        <v>9</v>
      </c>
      <c r="Q20" s="103">
        <v>495</v>
      </c>
      <c r="R20" s="103">
        <v>220</v>
      </c>
      <c r="S20" s="103">
        <v>121</v>
      </c>
      <c r="T20" s="103">
        <v>2</v>
      </c>
      <c r="U20" s="103">
        <v>2</v>
      </c>
      <c r="V20" s="103">
        <v>2</v>
      </c>
      <c r="W20" s="103">
        <v>222</v>
      </c>
      <c r="X20" s="103">
        <v>398</v>
      </c>
      <c r="Y20" s="103">
        <v>2</v>
      </c>
      <c r="Z20" s="103">
        <v>236</v>
      </c>
      <c r="AA20" s="103">
        <v>96</v>
      </c>
      <c r="AB20" s="103">
        <v>187</v>
      </c>
      <c r="AC20" s="103">
        <v>0</v>
      </c>
      <c r="AD20" s="103">
        <v>137</v>
      </c>
      <c r="AE20" s="103">
        <v>84</v>
      </c>
      <c r="AF20" s="103">
        <v>21</v>
      </c>
      <c r="AG20" s="110">
        <f t="shared" si="4"/>
        <v>142.03333333333333</v>
      </c>
      <c r="AH20" s="111">
        <v>10000</v>
      </c>
      <c r="AI20" s="111">
        <f t="shared" si="1"/>
        <v>4261</v>
      </c>
      <c r="AJ20" s="112">
        <f t="shared" si="2"/>
        <v>0.42609999999999998</v>
      </c>
      <c r="AK20" s="113">
        <f t="shared" si="3"/>
        <v>5739</v>
      </c>
    </row>
    <row r="21" spans="1:37" ht="20">
      <c r="A21" s="99" t="s">
        <v>62</v>
      </c>
      <c r="B21" s="98" t="s">
        <v>63</v>
      </c>
      <c r="C21" s="103">
        <v>215</v>
      </c>
      <c r="D21" s="103">
        <v>214</v>
      </c>
      <c r="E21" s="103">
        <v>370</v>
      </c>
      <c r="F21" s="103">
        <v>1</v>
      </c>
      <c r="G21" s="103">
        <v>1</v>
      </c>
      <c r="H21" s="103">
        <v>1</v>
      </c>
      <c r="I21" s="103">
        <v>0</v>
      </c>
      <c r="J21" s="103">
        <v>0</v>
      </c>
      <c r="K21" s="103">
        <v>0</v>
      </c>
      <c r="L21" s="103">
        <v>313</v>
      </c>
      <c r="M21" s="103">
        <v>405</v>
      </c>
      <c r="N21" s="103">
        <v>22</v>
      </c>
      <c r="O21" s="103">
        <v>137</v>
      </c>
      <c r="P21" s="103">
        <v>4</v>
      </c>
      <c r="Q21" s="103">
        <v>431</v>
      </c>
      <c r="R21" s="103">
        <v>283</v>
      </c>
      <c r="S21" s="103">
        <v>120</v>
      </c>
      <c r="T21" s="103">
        <v>2</v>
      </c>
      <c r="U21" s="103">
        <v>1</v>
      </c>
      <c r="V21" s="103">
        <v>1</v>
      </c>
      <c r="W21" s="103">
        <v>336</v>
      </c>
      <c r="X21" s="103">
        <v>267</v>
      </c>
      <c r="Y21" s="103">
        <v>2</v>
      </c>
      <c r="Z21" s="103">
        <v>189</v>
      </c>
      <c r="AA21" s="103">
        <v>137</v>
      </c>
      <c r="AB21" s="103">
        <v>97</v>
      </c>
      <c r="AC21" s="103">
        <v>240</v>
      </c>
      <c r="AD21" s="103">
        <v>77</v>
      </c>
      <c r="AE21" s="103">
        <v>11</v>
      </c>
      <c r="AF21" s="103">
        <v>170</v>
      </c>
      <c r="AG21" s="110">
        <f t="shared" si="4"/>
        <v>134.9</v>
      </c>
      <c r="AH21" s="111">
        <v>10000</v>
      </c>
      <c r="AI21" s="111">
        <f t="shared" si="1"/>
        <v>4047</v>
      </c>
      <c r="AJ21" s="112">
        <f t="shared" si="2"/>
        <v>0.4047</v>
      </c>
      <c r="AK21" s="113">
        <f t="shared" si="3"/>
        <v>5953</v>
      </c>
    </row>
    <row r="22" spans="1:37" ht="20">
      <c r="A22" s="99" t="s">
        <v>64</v>
      </c>
      <c r="B22" s="98" t="s">
        <v>65</v>
      </c>
      <c r="C22" s="103">
        <v>102</v>
      </c>
      <c r="D22" s="103">
        <v>38</v>
      </c>
      <c r="E22" s="103">
        <v>232</v>
      </c>
      <c r="F22" s="103">
        <v>601</v>
      </c>
      <c r="G22" s="103">
        <v>99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2</v>
      </c>
      <c r="N22" s="103">
        <v>304</v>
      </c>
      <c r="O22" s="103">
        <v>333</v>
      </c>
      <c r="P22" s="103">
        <v>252</v>
      </c>
      <c r="Q22" s="103">
        <v>430</v>
      </c>
      <c r="R22" s="103">
        <v>285</v>
      </c>
      <c r="S22" s="103">
        <v>120</v>
      </c>
      <c r="T22" s="103">
        <v>1</v>
      </c>
      <c r="U22" s="103">
        <v>0</v>
      </c>
      <c r="V22" s="103">
        <v>1</v>
      </c>
      <c r="W22" s="103">
        <v>340</v>
      </c>
      <c r="X22" s="103">
        <v>270</v>
      </c>
      <c r="Y22" s="103">
        <v>4</v>
      </c>
      <c r="Z22" s="103">
        <v>1</v>
      </c>
      <c r="AA22" s="103">
        <v>180</v>
      </c>
      <c r="AB22" s="103">
        <v>105</v>
      </c>
      <c r="AC22" s="103">
        <v>133</v>
      </c>
      <c r="AD22" s="103">
        <v>229</v>
      </c>
      <c r="AE22" s="103">
        <v>90</v>
      </c>
      <c r="AF22" s="103">
        <v>13</v>
      </c>
      <c r="AG22" s="110">
        <f t="shared" si="4"/>
        <v>138.83333333333334</v>
      </c>
      <c r="AH22" s="111">
        <v>10000</v>
      </c>
      <c r="AI22" s="111">
        <v>4413</v>
      </c>
      <c r="AJ22" s="112">
        <f t="shared" si="2"/>
        <v>0.44130000000000003</v>
      </c>
      <c r="AK22" s="113">
        <f t="shared" si="3"/>
        <v>5587</v>
      </c>
    </row>
    <row r="23" spans="1:37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10" t="e">
        <f t="shared" si="4"/>
        <v>#DIV/0!</v>
      </c>
      <c r="AH23" s="111">
        <v>10000</v>
      </c>
      <c r="AI23" s="111">
        <f t="shared" si="1"/>
        <v>0</v>
      </c>
      <c r="AJ23" s="112">
        <f>AI23/AH23</f>
        <v>0</v>
      </c>
      <c r="AK23" s="113">
        <f>AH23-AI23</f>
        <v>10000</v>
      </c>
    </row>
    <row r="24" spans="1:37" s="116" customFormat="1" ht="28.5" customHeight="1">
      <c r="B24" s="124" t="s">
        <v>70</v>
      </c>
      <c r="C24" s="118">
        <f t="shared" ref="C24:Q24" si="5">SUM(C6:C22)</f>
        <v>3435</v>
      </c>
      <c r="D24" s="118">
        <f t="shared" si="5"/>
        <v>2707</v>
      </c>
      <c r="E24" s="118">
        <f t="shared" si="5"/>
        <v>2244</v>
      </c>
      <c r="F24" s="118">
        <f t="shared" si="5"/>
        <v>1223</v>
      </c>
      <c r="G24" s="118">
        <f t="shared" si="5"/>
        <v>128</v>
      </c>
      <c r="H24" s="118">
        <f t="shared" si="5"/>
        <v>69</v>
      </c>
      <c r="I24" s="118">
        <f t="shared" si="5"/>
        <v>163</v>
      </c>
      <c r="J24" s="118">
        <f t="shared" si="5"/>
        <v>142</v>
      </c>
      <c r="K24" s="118">
        <f t="shared" si="5"/>
        <v>660</v>
      </c>
      <c r="L24" s="118">
        <f t="shared" si="5"/>
        <v>2960</v>
      </c>
      <c r="M24" s="118">
        <f t="shared" si="5"/>
        <v>3107</v>
      </c>
      <c r="N24" s="118">
        <f t="shared" si="5"/>
        <v>2152</v>
      </c>
      <c r="O24" s="118">
        <f t="shared" si="5"/>
        <v>2265</v>
      </c>
      <c r="P24" s="118">
        <f t="shared" si="5"/>
        <v>1014</v>
      </c>
      <c r="Q24" s="118">
        <f t="shared" si="5"/>
        <v>4410</v>
      </c>
      <c r="R24" s="118">
        <f>SUM(Q6:Q22)</f>
        <v>4410</v>
      </c>
      <c r="S24" s="118">
        <f>SUM(R6:R22)</f>
        <v>2640</v>
      </c>
      <c r="T24" s="118">
        <f t="shared" ref="T24:AF24" si="6">SUM(T6:T22)</f>
        <v>730</v>
      </c>
      <c r="U24" s="118">
        <f t="shared" si="6"/>
        <v>250</v>
      </c>
      <c r="V24" s="118">
        <f t="shared" si="6"/>
        <v>588</v>
      </c>
      <c r="W24" s="118">
        <f t="shared" si="6"/>
        <v>2518</v>
      </c>
      <c r="X24" s="118">
        <f t="shared" si="6"/>
        <v>2631</v>
      </c>
      <c r="Y24" s="118">
        <f>SUM(Y6:Y21)</f>
        <v>943</v>
      </c>
      <c r="Z24" s="118">
        <f t="shared" si="6"/>
        <v>2123</v>
      </c>
      <c r="AA24" s="118">
        <f t="shared" si="6"/>
        <v>1928</v>
      </c>
      <c r="AB24" s="118">
        <f t="shared" si="6"/>
        <v>1112</v>
      </c>
      <c r="AC24" s="118">
        <f t="shared" si="6"/>
        <v>2200</v>
      </c>
      <c r="AD24" s="118">
        <f t="shared" si="6"/>
        <v>2003</v>
      </c>
      <c r="AE24" s="118">
        <f t="shared" si="6"/>
        <v>1829</v>
      </c>
      <c r="AF24" s="118">
        <f t="shared" si="6"/>
        <v>1722</v>
      </c>
      <c r="AG24" s="119"/>
      <c r="AH24" s="121">
        <f>SUM(AH6:AH22)</f>
        <v>170000</v>
      </c>
      <c r="AI24" s="121">
        <f>SUM(AI6:AI22)</f>
        <v>56004</v>
      </c>
      <c r="AJ24" s="122">
        <f>AI24/AH24</f>
        <v>0.32943529411764705</v>
      </c>
      <c r="AK24" s="119"/>
    </row>
    <row r="25" spans="1:37" s="116" customFormat="1" ht="28.5" customHeight="1">
      <c r="B25" s="124" t="s">
        <v>83</v>
      </c>
      <c r="C25" s="117">
        <v>3150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9"/>
      <c r="AH25" s="227">
        <f>AVERAGE(AH6:AH22)</f>
        <v>10000</v>
      </c>
      <c r="AI25" s="227">
        <f>AVERAGE(AI6:AI22)</f>
        <v>3294.3529411764707</v>
      </c>
    </row>
    <row r="26" spans="1:37" s="116" customFormat="1" ht="15">
      <c r="B26" s="124" t="s">
        <v>72</v>
      </c>
      <c r="C26" s="123">
        <f>C27/C28</f>
        <v>0.44901960784313727</v>
      </c>
      <c r="D26" s="123">
        <f t="shared" ref="D26:AF26" si="7">D27/D28</f>
        <v>0.35385620915032684</v>
      </c>
      <c r="E26" s="123">
        <f t="shared" si="7"/>
        <v>0.29333333333333333</v>
      </c>
      <c r="F26" s="123">
        <f t="shared" si="7"/>
        <v>0.15986928104575163</v>
      </c>
      <c r="G26" s="123">
        <f>G27/G28</f>
        <v>1.6732026143790848E-2</v>
      </c>
      <c r="H26" s="123">
        <f t="shared" si="7"/>
        <v>9.0196078431372551E-3</v>
      </c>
      <c r="I26" s="123">
        <f t="shared" si="7"/>
        <v>2.1307189542483659E-2</v>
      </c>
      <c r="J26" s="123">
        <f t="shared" si="7"/>
        <v>1.8562091503267975E-2</v>
      </c>
      <c r="K26" s="123">
        <f t="shared" si="7"/>
        <v>8.6274509803921567E-2</v>
      </c>
      <c r="L26" s="123">
        <f t="shared" si="7"/>
        <v>0.38692810457516341</v>
      </c>
      <c r="M26" s="123">
        <f t="shared" si="7"/>
        <v>0.40614379084967317</v>
      </c>
      <c r="N26" s="123">
        <f t="shared" si="7"/>
        <v>0.28130718954248368</v>
      </c>
      <c r="O26" s="123">
        <f t="shared" si="7"/>
        <v>0.29607843137254902</v>
      </c>
      <c r="P26" s="123">
        <f t="shared" si="7"/>
        <v>0.13254901960784313</v>
      </c>
      <c r="Q26" s="123">
        <f t="shared" si="7"/>
        <v>0.57647058823529418</v>
      </c>
      <c r="R26" s="123">
        <f>R27/R28</f>
        <v>0.57647058823529418</v>
      </c>
      <c r="S26" s="123">
        <f t="shared" si="7"/>
        <v>0.34509803921568627</v>
      </c>
      <c r="T26" s="123">
        <f t="shared" si="7"/>
        <v>9.5424836601307184E-2</v>
      </c>
      <c r="U26" s="123">
        <f t="shared" si="7"/>
        <v>3.2679738562091498E-2</v>
      </c>
      <c r="V26" s="123">
        <f t="shared" si="7"/>
        <v>7.6862745098039212E-2</v>
      </c>
      <c r="W26" s="123">
        <f t="shared" si="7"/>
        <v>0.32915032679738565</v>
      </c>
      <c r="X26" s="123">
        <f t="shared" si="7"/>
        <v>0.34392156862745094</v>
      </c>
      <c r="Y26" s="123">
        <f t="shared" si="7"/>
        <v>0.13097222222222221</v>
      </c>
      <c r="Z26" s="123">
        <f t="shared" si="7"/>
        <v>0.27751633986928104</v>
      </c>
      <c r="AA26" s="123">
        <f t="shared" si="7"/>
        <v>0.25202614379084964</v>
      </c>
      <c r="AB26" s="123">
        <f t="shared" si="7"/>
        <v>0.14535947712418298</v>
      </c>
      <c r="AC26" s="123">
        <f t="shared" si="7"/>
        <v>0.28758169934640521</v>
      </c>
      <c r="AD26" s="123">
        <f t="shared" si="7"/>
        <v>0.26183006535947712</v>
      </c>
      <c r="AE26" s="123">
        <f t="shared" si="7"/>
        <v>0.23908496732026144</v>
      </c>
      <c r="AF26" s="123">
        <f t="shared" si="7"/>
        <v>0.22509803921568627</v>
      </c>
      <c r="AG26" s="119"/>
    </row>
    <row r="27" spans="1:37" s="116" customFormat="1" ht="15">
      <c r="B27" s="124" t="s">
        <v>75</v>
      </c>
      <c r="C27" s="118">
        <f>AVERAGE(C6:C22)</f>
        <v>202.05882352941177</v>
      </c>
      <c r="D27" s="118">
        <f t="shared" ref="D27:AF27" si="8">AVERAGE(D6:D22)</f>
        <v>159.23529411764707</v>
      </c>
      <c r="E27" s="118">
        <f t="shared" si="8"/>
        <v>132</v>
      </c>
      <c r="F27" s="118">
        <f t="shared" si="8"/>
        <v>71.941176470588232</v>
      </c>
      <c r="G27" s="118">
        <f>AVERAGE(G6:G22)</f>
        <v>7.5294117647058822</v>
      </c>
      <c r="H27" s="118">
        <f t="shared" si="8"/>
        <v>4.0588235294117645</v>
      </c>
      <c r="I27" s="118">
        <f t="shared" si="8"/>
        <v>9.5882352941176467</v>
      </c>
      <c r="J27" s="118">
        <f t="shared" si="8"/>
        <v>8.3529411764705888</v>
      </c>
      <c r="K27" s="118">
        <f t="shared" si="8"/>
        <v>38.823529411764703</v>
      </c>
      <c r="L27" s="118">
        <f t="shared" si="8"/>
        <v>174.11764705882354</v>
      </c>
      <c r="M27" s="118">
        <f t="shared" si="8"/>
        <v>182.76470588235293</v>
      </c>
      <c r="N27" s="118">
        <f t="shared" si="8"/>
        <v>126.58823529411765</v>
      </c>
      <c r="O27" s="118">
        <f t="shared" si="8"/>
        <v>133.23529411764707</v>
      </c>
      <c r="P27" s="118">
        <f t="shared" si="8"/>
        <v>59.647058823529413</v>
      </c>
      <c r="Q27" s="118">
        <f t="shared" si="8"/>
        <v>259.41176470588238</v>
      </c>
      <c r="R27" s="118">
        <f>AVERAGE(Q6:Q22)</f>
        <v>259.41176470588238</v>
      </c>
      <c r="S27" s="118">
        <f>AVERAGE(R6:R22)</f>
        <v>155.29411764705881</v>
      </c>
      <c r="T27" s="118">
        <f t="shared" si="8"/>
        <v>42.941176470588232</v>
      </c>
      <c r="U27" s="118">
        <f t="shared" si="8"/>
        <v>14.705882352941176</v>
      </c>
      <c r="V27" s="118">
        <f t="shared" si="8"/>
        <v>34.588235294117645</v>
      </c>
      <c r="W27" s="118">
        <f t="shared" si="8"/>
        <v>148.11764705882354</v>
      </c>
      <c r="X27" s="118">
        <f t="shared" si="8"/>
        <v>154.76470588235293</v>
      </c>
      <c r="Y27" s="118">
        <f>AVERAGE(Y6:Y21)</f>
        <v>58.9375</v>
      </c>
      <c r="Z27" s="118">
        <f t="shared" si="8"/>
        <v>124.88235294117646</v>
      </c>
      <c r="AA27" s="118">
        <f t="shared" si="8"/>
        <v>113.41176470588235</v>
      </c>
      <c r="AB27" s="118">
        <f t="shared" si="8"/>
        <v>65.411764705882348</v>
      </c>
      <c r="AC27" s="118">
        <f t="shared" si="8"/>
        <v>129.41176470588235</v>
      </c>
      <c r="AD27" s="118">
        <f t="shared" si="8"/>
        <v>117.82352941176471</v>
      </c>
      <c r="AE27" s="118">
        <f t="shared" si="8"/>
        <v>107.58823529411765</v>
      </c>
      <c r="AF27" s="118">
        <f t="shared" si="8"/>
        <v>101.29411764705883</v>
      </c>
      <c r="AG27" s="126"/>
    </row>
    <row r="28" spans="1:37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</row>
    <row r="35" spans="10:10">
      <c r="J35" s="247"/>
    </row>
  </sheetData>
  <mergeCells count="1">
    <mergeCell ref="C1:AF1"/>
  </mergeCells>
  <conditionalFormatting sqref="A8">
    <cfRule type="duplicateValues" dxfId="84" priority="6"/>
  </conditionalFormatting>
  <conditionalFormatting sqref="A10:A11 A7">
    <cfRule type="duplicateValues" dxfId="83" priority="7"/>
  </conditionalFormatting>
  <conditionalFormatting sqref="A13">
    <cfRule type="duplicateValues" dxfId="82" priority="4"/>
  </conditionalFormatting>
  <conditionalFormatting sqref="A14">
    <cfRule type="duplicateValues" dxfId="81" priority="5"/>
  </conditionalFormatting>
  <conditionalFormatting sqref="A16:A17 A12">
    <cfRule type="duplicateValues" dxfId="80" priority="10"/>
  </conditionalFormatting>
  <conditionalFormatting sqref="A22 A15 A9 A3:A6">
    <cfRule type="duplicateValues" dxfId="79" priority="9"/>
  </conditionalFormatting>
  <conditionalFormatting sqref="A23 A18:A20">
    <cfRule type="duplicateValues" dxfId="78" priority="8"/>
  </conditionalFormatting>
  <conditionalFormatting sqref="C3:AF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K3:AK23">
    <cfRule type="cellIs" dxfId="77" priority="2" operator="lessThan">
      <formula>0</formula>
    </cfRule>
    <cfRule type="cellIs" dxfId="76" priority="3" operator="greaterThan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4F7C-F5D3-4792-BDB5-0E80D6751047}">
  <dimension ref="A1:AL35"/>
  <sheetViews>
    <sheetView zoomScale="58" zoomScaleNormal="58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AN44" sqref="AN44"/>
    </sheetView>
  </sheetViews>
  <sheetFormatPr defaultRowHeight="14.5"/>
  <cols>
    <col min="1" max="1" width="16" customWidth="1"/>
    <col min="2" max="2" width="39.36328125" customWidth="1"/>
    <col min="3" max="33" width="6.7265625" customWidth="1"/>
    <col min="34" max="34" width="10.6328125" bestFit="1" customWidth="1"/>
    <col min="35" max="35" width="16.08984375" bestFit="1" customWidth="1"/>
    <col min="36" max="36" width="18.6328125" bestFit="1" customWidth="1"/>
    <col min="37" max="37" width="13.36328125" customWidth="1"/>
    <col min="38" max="38" width="13" customWidth="1"/>
  </cols>
  <sheetData>
    <row r="1" spans="1:38" ht="35.25" customHeight="1">
      <c r="B1" s="127" t="s">
        <v>149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157"/>
    </row>
    <row r="2" spans="1:38" ht="73.5" customHeight="1">
      <c r="A2" s="60" t="s">
        <v>4</v>
      </c>
      <c r="B2" s="61" t="s">
        <v>5</v>
      </c>
      <c r="C2" s="100">
        <v>45200</v>
      </c>
      <c r="D2" s="100">
        <v>45201</v>
      </c>
      <c r="E2" s="100">
        <v>45202</v>
      </c>
      <c r="F2" s="100">
        <v>45203</v>
      </c>
      <c r="G2" s="100">
        <v>45204</v>
      </c>
      <c r="H2" s="100">
        <v>45205</v>
      </c>
      <c r="I2" s="100">
        <v>45206</v>
      </c>
      <c r="J2" s="100">
        <v>45207</v>
      </c>
      <c r="K2" s="100">
        <v>45208</v>
      </c>
      <c r="L2" s="100">
        <v>45209</v>
      </c>
      <c r="M2" s="100">
        <v>45210</v>
      </c>
      <c r="N2" s="100">
        <v>45211</v>
      </c>
      <c r="O2" s="100">
        <v>45212</v>
      </c>
      <c r="P2" s="100">
        <v>45213</v>
      </c>
      <c r="Q2" s="100">
        <v>45214</v>
      </c>
      <c r="R2" s="100">
        <v>45215</v>
      </c>
      <c r="S2" s="100">
        <v>45216</v>
      </c>
      <c r="T2" s="100">
        <v>45217</v>
      </c>
      <c r="U2" s="100">
        <v>45218</v>
      </c>
      <c r="V2" s="100">
        <v>45219</v>
      </c>
      <c r="W2" s="100">
        <v>45220</v>
      </c>
      <c r="X2" s="100">
        <v>45221</v>
      </c>
      <c r="Y2" s="100">
        <v>45222</v>
      </c>
      <c r="Z2" s="100">
        <v>45223</v>
      </c>
      <c r="AA2" s="100">
        <v>45224</v>
      </c>
      <c r="AB2" s="100">
        <v>45225</v>
      </c>
      <c r="AC2" s="100">
        <v>45226</v>
      </c>
      <c r="AD2" s="100">
        <v>45227</v>
      </c>
      <c r="AE2" s="100">
        <v>45228</v>
      </c>
      <c r="AF2" s="100">
        <v>45229</v>
      </c>
      <c r="AG2" s="100">
        <v>45230</v>
      </c>
      <c r="AH2" s="101" t="s">
        <v>79</v>
      </c>
      <c r="AI2" s="106" t="s">
        <v>18</v>
      </c>
      <c r="AJ2" s="125" t="s">
        <v>77</v>
      </c>
      <c r="AK2" s="107" t="s">
        <v>20</v>
      </c>
      <c r="AL2" s="108" t="s">
        <v>78</v>
      </c>
    </row>
    <row r="3" spans="1:38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10">
        <f t="shared" ref="AH3:AH23" si="0">AVERAGE(C3:AF3)</f>
        <v>0</v>
      </c>
      <c r="AI3" s="111">
        <v>10000</v>
      </c>
      <c r="AJ3" s="111">
        <f>SUM(C3:AG3)</f>
        <v>0</v>
      </c>
      <c r="AK3" s="112">
        <f>AJ3/AI3</f>
        <v>0</v>
      </c>
      <c r="AL3" s="113">
        <f>AI3-AJ3</f>
        <v>10000</v>
      </c>
    </row>
    <row r="4" spans="1:38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10">
        <f t="shared" si="0"/>
        <v>0</v>
      </c>
      <c r="AI4" s="111">
        <v>10000</v>
      </c>
      <c r="AJ4" s="111">
        <f t="shared" ref="AJ4:AJ23" si="1">SUM(C4:AG4)</f>
        <v>0</v>
      </c>
      <c r="AK4" s="112">
        <f t="shared" ref="AK4:AK22" si="2">AJ4/AI4</f>
        <v>0</v>
      </c>
      <c r="AL4" s="113">
        <f t="shared" ref="AL4:AL22" si="3">AI4-AJ4</f>
        <v>10000</v>
      </c>
    </row>
    <row r="5" spans="1:38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10">
        <f t="shared" si="0"/>
        <v>0</v>
      </c>
      <c r="AI5" s="111">
        <v>10000</v>
      </c>
      <c r="AJ5" s="111">
        <f t="shared" si="1"/>
        <v>0</v>
      </c>
      <c r="AK5" s="112">
        <f t="shared" si="2"/>
        <v>0</v>
      </c>
      <c r="AL5" s="113">
        <f t="shared" si="3"/>
        <v>10000</v>
      </c>
    </row>
    <row r="6" spans="1:38" ht="20">
      <c r="A6" s="99" t="s">
        <v>33</v>
      </c>
      <c r="B6" s="98" t="s">
        <v>34</v>
      </c>
      <c r="C6" s="103">
        <v>0</v>
      </c>
      <c r="D6" s="103">
        <v>211</v>
      </c>
      <c r="E6" s="103">
        <v>225</v>
      </c>
      <c r="F6" s="103">
        <v>50</v>
      </c>
      <c r="G6" s="103">
        <v>39</v>
      </c>
      <c r="H6" s="103">
        <v>545</v>
      </c>
      <c r="I6" s="103">
        <v>247</v>
      </c>
      <c r="J6" s="103">
        <v>0</v>
      </c>
      <c r="K6" s="103">
        <v>125</v>
      </c>
      <c r="L6" s="103">
        <v>0</v>
      </c>
      <c r="M6" s="103">
        <v>0</v>
      </c>
      <c r="N6" s="103">
        <v>75</v>
      </c>
      <c r="O6" s="103">
        <v>269</v>
      </c>
      <c r="P6" s="103">
        <v>266</v>
      </c>
      <c r="Q6" s="103">
        <v>0</v>
      </c>
      <c r="R6" s="103">
        <v>0</v>
      </c>
      <c r="S6" s="103">
        <v>233</v>
      </c>
      <c r="T6" s="103">
        <v>94</v>
      </c>
      <c r="U6" s="103">
        <v>0</v>
      </c>
      <c r="V6" s="103">
        <v>0</v>
      </c>
      <c r="W6" s="103">
        <v>0</v>
      </c>
      <c r="X6" s="103">
        <v>0</v>
      </c>
      <c r="Y6" s="103">
        <v>0</v>
      </c>
      <c r="Z6" s="103">
        <v>0</v>
      </c>
      <c r="AA6" s="103">
        <v>0</v>
      </c>
      <c r="AB6" s="103">
        <v>45</v>
      </c>
      <c r="AC6" s="103">
        <v>265</v>
      </c>
      <c r="AD6" s="103">
        <v>37</v>
      </c>
      <c r="AE6" s="103">
        <v>0</v>
      </c>
      <c r="AF6" s="103">
        <v>1</v>
      </c>
      <c r="AG6" s="103">
        <v>0</v>
      </c>
      <c r="AH6" s="110">
        <f t="shared" si="0"/>
        <v>90.9</v>
      </c>
      <c r="AI6" s="111">
        <v>10000</v>
      </c>
      <c r="AJ6" s="111">
        <f>SUM(C6:AG6)</f>
        <v>2727</v>
      </c>
      <c r="AK6" s="112">
        <f>AJ6/AI6</f>
        <v>0.2727</v>
      </c>
      <c r="AL6" s="113">
        <f t="shared" si="3"/>
        <v>7273</v>
      </c>
    </row>
    <row r="7" spans="1:38" ht="20">
      <c r="A7" s="99" t="s">
        <v>35</v>
      </c>
      <c r="B7" s="98" t="s">
        <v>36</v>
      </c>
      <c r="C7" s="103">
        <v>0</v>
      </c>
      <c r="D7" s="103">
        <v>322</v>
      </c>
      <c r="E7" s="103">
        <v>406</v>
      </c>
      <c r="F7" s="103">
        <v>189</v>
      </c>
      <c r="G7" s="103">
        <v>170</v>
      </c>
      <c r="H7" s="103">
        <v>0</v>
      </c>
      <c r="I7" s="103">
        <v>133</v>
      </c>
      <c r="J7" s="103">
        <v>341</v>
      </c>
      <c r="K7" s="103">
        <v>484</v>
      </c>
      <c r="L7" s="103">
        <v>274</v>
      </c>
      <c r="M7" s="103">
        <v>0</v>
      </c>
      <c r="N7" s="103">
        <v>4</v>
      </c>
      <c r="O7" s="103">
        <v>65</v>
      </c>
      <c r="P7" s="103">
        <v>0</v>
      </c>
      <c r="Q7" s="103">
        <v>0</v>
      </c>
      <c r="R7" s="103">
        <v>0</v>
      </c>
      <c r="S7" s="103">
        <v>184</v>
      </c>
      <c r="T7" s="103">
        <v>253</v>
      </c>
      <c r="U7" s="103">
        <v>267</v>
      </c>
      <c r="V7" s="103">
        <v>288</v>
      </c>
      <c r="W7" s="103">
        <v>404</v>
      </c>
      <c r="X7" s="103">
        <v>140</v>
      </c>
      <c r="Y7" s="103">
        <v>275</v>
      </c>
      <c r="Z7" s="103">
        <v>0</v>
      </c>
      <c r="AA7" s="103">
        <v>0</v>
      </c>
      <c r="AB7" s="103">
        <v>0</v>
      </c>
      <c r="AC7" s="103">
        <v>217</v>
      </c>
      <c r="AD7" s="103">
        <v>0</v>
      </c>
      <c r="AE7" s="103">
        <v>0</v>
      </c>
      <c r="AF7" s="103">
        <v>0</v>
      </c>
      <c r="AG7" s="103">
        <v>0</v>
      </c>
      <c r="AH7" s="110">
        <f t="shared" si="0"/>
        <v>147.19999999999999</v>
      </c>
      <c r="AI7" s="111">
        <v>10000</v>
      </c>
      <c r="AJ7" s="111">
        <f t="shared" ref="AJ7:AJ22" si="4">SUM(C7:AG7)</f>
        <v>4416</v>
      </c>
      <c r="AK7" s="112">
        <f t="shared" si="2"/>
        <v>0.44159999999999999</v>
      </c>
      <c r="AL7" s="113">
        <f t="shared" si="3"/>
        <v>5584</v>
      </c>
    </row>
    <row r="8" spans="1:38" ht="20">
      <c r="A8" s="99" t="s">
        <v>37</v>
      </c>
      <c r="B8" s="98" t="s">
        <v>73</v>
      </c>
      <c r="C8" s="103">
        <v>0</v>
      </c>
      <c r="D8" s="103">
        <v>247</v>
      </c>
      <c r="E8" s="103">
        <v>523</v>
      </c>
      <c r="F8" s="103">
        <v>0</v>
      </c>
      <c r="G8" s="103">
        <v>129</v>
      </c>
      <c r="H8" s="103">
        <v>1</v>
      </c>
      <c r="I8" s="103">
        <v>76</v>
      </c>
      <c r="J8" s="103">
        <v>0</v>
      </c>
      <c r="K8" s="103">
        <v>133</v>
      </c>
      <c r="L8" s="103">
        <v>2</v>
      </c>
      <c r="M8" s="103">
        <v>215</v>
      </c>
      <c r="N8" s="103">
        <v>135</v>
      </c>
      <c r="O8" s="103">
        <v>0</v>
      </c>
      <c r="P8" s="103">
        <v>0</v>
      </c>
      <c r="Q8" s="103">
        <v>0</v>
      </c>
      <c r="R8" s="103">
        <v>15</v>
      </c>
      <c r="S8" s="103">
        <v>217</v>
      </c>
      <c r="T8" s="103">
        <v>94</v>
      </c>
      <c r="U8" s="103">
        <v>0</v>
      </c>
      <c r="V8" s="103">
        <v>340</v>
      </c>
      <c r="W8" s="103">
        <v>144</v>
      </c>
      <c r="X8" s="103">
        <v>1</v>
      </c>
      <c r="Y8" s="103">
        <v>1</v>
      </c>
      <c r="Z8" s="103">
        <v>0</v>
      </c>
      <c r="AA8" s="103">
        <v>0</v>
      </c>
      <c r="AB8" s="103">
        <v>0</v>
      </c>
      <c r="AC8" s="103">
        <v>27</v>
      </c>
      <c r="AD8" s="103">
        <v>199</v>
      </c>
      <c r="AE8" s="103">
        <v>426</v>
      </c>
      <c r="AF8" s="103">
        <v>0</v>
      </c>
      <c r="AG8" s="103">
        <v>0</v>
      </c>
      <c r="AH8" s="110">
        <f t="shared" si="0"/>
        <v>97.5</v>
      </c>
      <c r="AI8" s="111">
        <v>10000</v>
      </c>
      <c r="AJ8" s="111">
        <f t="shared" si="4"/>
        <v>2925</v>
      </c>
      <c r="AK8" s="112">
        <f t="shared" si="2"/>
        <v>0.29249999999999998</v>
      </c>
      <c r="AL8" s="113">
        <f t="shared" si="3"/>
        <v>7075</v>
      </c>
    </row>
    <row r="9" spans="1:38" ht="20">
      <c r="A9" s="99" t="s">
        <v>38</v>
      </c>
      <c r="B9" s="98" t="s">
        <v>39</v>
      </c>
      <c r="C9" s="103">
        <v>15</v>
      </c>
      <c r="D9" s="103">
        <v>225</v>
      </c>
      <c r="E9" s="103">
        <v>303</v>
      </c>
      <c r="F9" s="103">
        <v>10</v>
      </c>
      <c r="G9" s="103">
        <v>3</v>
      </c>
      <c r="H9" s="103">
        <v>175</v>
      </c>
      <c r="I9" s="103">
        <v>130</v>
      </c>
      <c r="J9" s="103">
        <v>158</v>
      </c>
      <c r="K9" s="103">
        <v>138</v>
      </c>
      <c r="L9" s="103">
        <v>302</v>
      </c>
      <c r="M9" s="103">
        <v>212</v>
      </c>
      <c r="N9" s="103">
        <v>93</v>
      </c>
      <c r="O9" s="103">
        <v>0</v>
      </c>
      <c r="P9" s="103">
        <v>19</v>
      </c>
      <c r="Q9" s="103">
        <v>0</v>
      </c>
      <c r="R9" s="103">
        <v>201</v>
      </c>
      <c r="S9" s="103">
        <v>117</v>
      </c>
      <c r="T9" s="103">
        <v>89</v>
      </c>
      <c r="U9" s="103">
        <v>268</v>
      </c>
      <c r="V9" s="103">
        <v>131</v>
      </c>
      <c r="W9" s="103">
        <v>257</v>
      </c>
      <c r="X9" s="103">
        <v>0</v>
      </c>
      <c r="Y9" s="103">
        <v>303</v>
      </c>
      <c r="Z9" s="103">
        <v>10</v>
      </c>
      <c r="AA9" s="103">
        <v>2</v>
      </c>
      <c r="AB9" s="103">
        <v>10</v>
      </c>
      <c r="AC9" s="103">
        <v>10</v>
      </c>
      <c r="AD9" s="103">
        <v>289</v>
      </c>
      <c r="AE9" s="103">
        <v>15</v>
      </c>
      <c r="AF9" s="103">
        <v>194</v>
      </c>
      <c r="AG9" s="103">
        <v>131</v>
      </c>
      <c r="AH9" s="110">
        <f t="shared" si="0"/>
        <v>122.63333333333334</v>
      </c>
      <c r="AI9" s="111">
        <v>10000</v>
      </c>
      <c r="AJ9" s="111">
        <f t="shared" si="4"/>
        <v>3810</v>
      </c>
      <c r="AK9" s="112">
        <f t="shared" si="2"/>
        <v>0.38100000000000001</v>
      </c>
      <c r="AL9" s="113">
        <f t="shared" si="3"/>
        <v>6190</v>
      </c>
    </row>
    <row r="10" spans="1:38" ht="20">
      <c r="A10" s="200" t="s">
        <v>40</v>
      </c>
      <c r="B10" s="98" t="s">
        <v>68</v>
      </c>
      <c r="C10" s="103">
        <v>120</v>
      </c>
      <c r="D10" s="103">
        <v>0</v>
      </c>
      <c r="E10" s="103">
        <v>9</v>
      </c>
      <c r="F10" s="103">
        <v>12</v>
      </c>
      <c r="G10" s="103">
        <v>5</v>
      </c>
      <c r="H10" s="103">
        <v>0</v>
      </c>
      <c r="I10" s="103">
        <v>118</v>
      </c>
      <c r="J10" s="103">
        <v>210</v>
      </c>
      <c r="K10" s="103">
        <v>0</v>
      </c>
      <c r="L10" s="103">
        <v>16</v>
      </c>
      <c r="M10" s="103">
        <v>0</v>
      </c>
      <c r="N10" s="103">
        <v>0</v>
      </c>
      <c r="O10" s="103">
        <v>0</v>
      </c>
      <c r="P10" s="103">
        <v>6</v>
      </c>
      <c r="Q10" s="103">
        <v>201</v>
      </c>
      <c r="R10" s="103">
        <v>319</v>
      </c>
      <c r="S10" s="103">
        <v>26</v>
      </c>
      <c r="T10" s="103">
        <v>114</v>
      </c>
      <c r="U10" s="103">
        <v>412</v>
      </c>
      <c r="V10" s="103">
        <v>64</v>
      </c>
      <c r="W10" s="103">
        <v>0</v>
      </c>
      <c r="X10" s="103">
        <v>0</v>
      </c>
      <c r="Y10" s="103">
        <v>0</v>
      </c>
      <c r="Z10" s="103">
        <v>0</v>
      </c>
      <c r="AA10" s="103">
        <v>12</v>
      </c>
      <c r="AB10" s="103">
        <v>10</v>
      </c>
      <c r="AC10" s="103">
        <v>11</v>
      </c>
      <c r="AD10" s="103">
        <v>458</v>
      </c>
      <c r="AE10" s="103">
        <v>104</v>
      </c>
      <c r="AF10" s="103">
        <v>51</v>
      </c>
      <c r="AG10" s="103">
        <v>0</v>
      </c>
      <c r="AH10" s="110">
        <f t="shared" si="0"/>
        <v>75.933333333333337</v>
      </c>
      <c r="AI10" s="111">
        <v>10000</v>
      </c>
      <c r="AJ10" s="111">
        <f t="shared" si="4"/>
        <v>2278</v>
      </c>
      <c r="AK10" s="112">
        <f t="shared" si="2"/>
        <v>0.2278</v>
      </c>
      <c r="AL10" s="201">
        <f>AI10-AJ10</f>
        <v>7722</v>
      </c>
    </row>
    <row r="11" spans="1:38" ht="20">
      <c r="A11" s="200" t="s">
        <v>41</v>
      </c>
      <c r="B11" s="98" t="s">
        <v>42</v>
      </c>
      <c r="C11" s="103">
        <v>11</v>
      </c>
      <c r="D11" s="103">
        <v>5</v>
      </c>
      <c r="E11" s="103">
        <v>233</v>
      </c>
      <c r="F11" s="103">
        <v>57</v>
      </c>
      <c r="G11" s="103">
        <v>252</v>
      </c>
      <c r="H11" s="103">
        <v>365</v>
      </c>
      <c r="I11" s="103">
        <v>214</v>
      </c>
      <c r="J11" s="103">
        <v>298</v>
      </c>
      <c r="K11" s="103">
        <v>24</v>
      </c>
      <c r="L11" s="103">
        <v>9</v>
      </c>
      <c r="M11" s="103">
        <v>6</v>
      </c>
      <c r="N11" s="103">
        <v>8</v>
      </c>
      <c r="O11" s="103">
        <v>5</v>
      </c>
      <c r="P11" s="103">
        <v>156</v>
      </c>
      <c r="Q11" s="103">
        <v>136</v>
      </c>
      <c r="R11" s="103">
        <v>259</v>
      </c>
      <c r="S11" s="103">
        <v>48</v>
      </c>
      <c r="T11" s="103">
        <v>310</v>
      </c>
      <c r="U11" s="103">
        <v>294</v>
      </c>
      <c r="V11" s="103">
        <v>3</v>
      </c>
      <c r="W11" s="103">
        <v>2</v>
      </c>
      <c r="X11" s="103">
        <v>1</v>
      </c>
      <c r="Y11" s="103">
        <v>5</v>
      </c>
      <c r="Z11" s="103">
        <v>18</v>
      </c>
      <c r="AA11" s="103">
        <v>8</v>
      </c>
      <c r="AB11" s="103">
        <v>18</v>
      </c>
      <c r="AC11" s="103">
        <v>229</v>
      </c>
      <c r="AD11" s="103">
        <v>123</v>
      </c>
      <c r="AE11" s="103">
        <v>217</v>
      </c>
      <c r="AF11" s="103">
        <v>10</v>
      </c>
      <c r="AG11" s="103">
        <v>401</v>
      </c>
      <c r="AH11" s="110">
        <v>194</v>
      </c>
      <c r="AI11" s="111">
        <v>10000</v>
      </c>
      <c r="AJ11" s="111">
        <f t="shared" si="4"/>
        <v>3725</v>
      </c>
      <c r="AK11" s="112">
        <v>0.43</v>
      </c>
      <c r="AL11" s="201">
        <v>3334</v>
      </c>
    </row>
    <row r="12" spans="1:38" ht="20">
      <c r="A12" s="99" t="s">
        <v>43</v>
      </c>
      <c r="B12" s="98" t="s">
        <v>44</v>
      </c>
      <c r="C12" s="103">
        <v>10</v>
      </c>
      <c r="D12" s="103">
        <v>1</v>
      </c>
      <c r="E12" s="103">
        <v>1</v>
      </c>
      <c r="F12" s="103">
        <v>119</v>
      </c>
      <c r="G12" s="103">
        <v>6</v>
      </c>
      <c r="H12" s="103">
        <v>201</v>
      </c>
      <c r="I12" s="103">
        <v>116</v>
      </c>
      <c r="J12" s="103">
        <v>136</v>
      </c>
      <c r="K12" s="103">
        <v>231</v>
      </c>
      <c r="L12" s="103">
        <v>0</v>
      </c>
      <c r="M12" s="103">
        <v>311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317</v>
      </c>
      <c r="U12" s="103">
        <v>1</v>
      </c>
      <c r="V12" s="103">
        <v>0</v>
      </c>
      <c r="W12" s="103">
        <v>0</v>
      </c>
      <c r="X12" s="103">
        <v>0</v>
      </c>
      <c r="Y12" s="103">
        <v>0</v>
      </c>
      <c r="Z12" s="103">
        <v>10</v>
      </c>
      <c r="AA12" s="103">
        <v>3</v>
      </c>
      <c r="AB12" s="103">
        <v>11</v>
      </c>
      <c r="AC12" s="103">
        <v>149</v>
      </c>
      <c r="AD12" s="103">
        <v>41</v>
      </c>
      <c r="AE12" s="103">
        <v>26</v>
      </c>
      <c r="AF12" s="103">
        <v>201</v>
      </c>
      <c r="AG12" s="103">
        <v>1</v>
      </c>
      <c r="AH12" s="110">
        <f t="shared" si="0"/>
        <v>63.033333333333331</v>
      </c>
      <c r="AI12" s="111">
        <v>10000</v>
      </c>
      <c r="AJ12" s="111">
        <f t="shared" si="4"/>
        <v>1892</v>
      </c>
      <c r="AK12" s="112">
        <f t="shared" si="2"/>
        <v>0.18920000000000001</v>
      </c>
      <c r="AL12" s="113">
        <f t="shared" si="3"/>
        <v>8108</v>
      </c>
    </row>
    <row r="13" spans="1:38" ht="20">
      <c r="A13" s="99" t="s">
        <v>45</v>
      </c>
      <c r="B13" s="98" t="s">
        <v>46</v>
      </c>
      <c r="C13" s="103">
        <v>140</v>
      </c>
      <c r="D13" s="103">
        <v>234</v>
      </c>
      <c r="E13" s="103">
        <v>1</v>
      </c>
      <c r="F13" s="103">
        <v>168</v>
      </c>
      <c r="G13" s="103">
        <v>213</v>
      </c>
      <c r="H13" s="103">
        <v>0</v>
      </c>
      <c r="I13" s="103">
        <v>0</v>
      </c>
      <c r="J13" s="103">
        <v>0</v>
      </c>
      <c r="K13" s="103">
        <v>217</v>
      </c>
      <c r="L13" s="103">
        <v>94</v>
      </c>
      <c r="M13" s="103">
        <v>13</v>
      </c>
      <c r="N13" s="103">
        <v>1</v>
      </c>
      <c r="O13" s="103">
        <v>1</v>
      </c>
      <c r="P13" s="103">
        <v>112</v>
      </c>
      <c r="Q13" s="103">
        <v>198</v>
      </c>
      <c r="R13" s="103">
        <v>223</v>
      </c>
      <c r="S13" s="103">
        <v>178</v>
      </c>
      <c r="T13" s="103">
        <v>365</v>
      </c>
      <c r="U13" s="103">
        <v>15</v>
      </c>
      <c r="V13" s="103">
        <v>0</v>
      </c>
      <c r="W13" s="103">
        <v>309</v>
      </c>
      <c r="X13" s="103">
        <v>1</v>
      </c>
      <c r="Y13" s="103">
        <v>1</v>
      </c>
      <c r="Z13" s="103">
        <v>11</v>
      </c>
      <c r="AA13" s="103">
        <v>4</v>
      </c>
      <c r="AB13" s="103">
        <v>5</v>
      </c>
      <c r="AC13" s="103">
        <v>141</v>
      </c>
      <c r="AD13" s="103">
        <v>1</v>
      </c>
      <c r="AE13" s="103">
        <v>242</v>
      </c>
      <c r="AF13" s="103">
        <v>26</v>
      </c>
      <c r="AG13" s="103">
        <v>148</v>
      </c>
      <c r="AH13" s="110">
        <f t="shared" si="0"/>
        <v>97.13333333333334</v>
      </c>
      <c r="AI13" s="111">
        <v>10000</v>
      </c>
      <c r="AJ13" s="111">
        <f t="shared" si="4"/>
        <v>3062</v>
      </c>
      <c r="AK13" s="112">
        <f t="shared" si="2"/>
        <v>0.30620000000000003</v>
      </c>
      <c r="AL13" s="113">
        <f t="shared" si="3"/>
        <v>6938</v>
      </c>
    </row>
    <row r="14" spans="1:38" ht="20">
      <c r="A14" s="99" t="s">
        <v>47</v>
      </c>
      <c r="B14" s="98" t="s">
        <v>48</v>
      </c>
      <c r="C14" s="103">
        <v>223</v>
      </c>
      <c r="D14" s="103">
        <v>144</v>
      </c>
      <c r="E14" s="103">
        <v>314</v>
      </c>
      <c r="F14" s="103">
        <v>10</v>
      </c>
      <c r="G14" s="103">
        <v>2</v>
      </c>
      <c r="H14" s="103">
        <v>232</v>
      </c>
      <c r="I14" s="103">
        <v>91</v>
      </c>
      <c r="J14" s="103">
        <v>273</v>
      </c>
      <c r="K14" s="103">
        <v>191</v>
      </c>
      <c r="L14" s="103">
        <v>103</v>
      </c>
      <c r="M14" s="103">
        <v>310</v>
      </c>
      <c r="N14" s="103">
        <v>0</v>
      </c>
      <c r="O14" s="103">
        <v>0</v>
      </c>
      <c r="P14" s="103">
        <v>174</v>
      </c>
      <c r="Q14" s="103">
        <v>141</v>
      </c>
      <c r="R14" s="103">
        <v>371</v>
      </c>
      <c r="S14" s="103">
        <v>147</v>
      </c>
      <c r="T14" s="103">
        <v>236</v>
      </c>
      <c r="U14" s="103">
        <v>306</v>
      </c>
      <c r="V14" s="103">
        <v>0</v>
      </c>
      <c r="W14" s="103">
        <v>0</v>
      </c>
      <c r="X14" s="103">
        <v>0</v>
      </c>
      <c r="Y14" s="103">
        <v>8</v>
      </c>
      <c r="Z14" s="103">
        <v>10</v>
      </c>
      <c r="AA14" s="103">
        <v>2</v>
      </c>
      <c r="AB14" s="103">
        <v>10</v>
      </c>
      <c r="AC14" s="103">
        <v>174</v>
      </c>
      <c r="AD14" s="103">
        <v>140</v>
      </c>
      <c r="AE14" s="103">
        <v>234</v>
      </c>
      <c r="AF14" s="103">
        <v>223</v>
      </c>
      <c r="AG14" s="103">
        <v>238</v>
      </c>
      <c r="AH14" s="110">
        <f t="shared" si="0"/>
        <v>135.63333333333333</v>
      </c>
      <c r="AI14" s="111">
        <v>10000</v>
      </c>
      <c r="AJ14" s="111">
        <f t="shared" si="4"/>
        <v>4307</v>
      </c>
      <c r="AK14" s="112">
        <f t="shared" si="2"/>
        <v>0.43070000000000003</v>
      </c>
      <c r="AL14" s="113">
        <f t="shared" si="3"/>
        <v>5693</v>
      </c>
    </row>
    <row r="15" spans="1:38" ht="20">
      <c r="A15" s="99" t="s">
        <v>49</v>
      </c>
      <c r="B15" s="98" t="s">
        <v>50</v>
      </c>
      <c r="C15" s="103">
        <v>10</v>
      </c>
      <c r="D15" s="103">
        <v>0</v>
      </c>
      <c r="E15" s="103">
        <v>3</v>
      </c>
      <c r="F15" s="103">
        <v>5</v>
      </c>
      <c r="G15" s="103">
        <v>0</v>
      </c>
      <c r="H15" s="103">
        <v>199</v>
      </c>
      <c r="I15" s="103">
        <v>206</v>
      </c>
      <c r="J15" s="103">
        <v>270</v>
      </c>
      <c r="K15" s="103">
        <v>2</v>
      </c>
      <c r="L15" s="103">
        <v>1</v>
      </c>
      <c r="M15" s="103">
        <v>2</v>
      </c>
      <c r="N15" s="103">
        <v>2</v>
      </c>
      <c r="O15" s="103">
        <v>2</v>
      </c>
      <c r="P15" s="103">
        <v>2</v>
      </c>
      <c r="Q15" s="103">
        <v>371</v>
      </c>
      <c r="R15" s="103">
        <v>1</v>
      </c>
      <c r="S15" s="103">
        <v>257</v>
      </c>
      <c r="T15" s="103">
        <v>87</v>
      </c>
      <c r="U15" s="103">
        <v>1</v>
      </c>
      <c r="V15" s="103">
        <v>0</v>
      </c>
      <c r="W15" s="103">
        <v>0</v>
      </c>
      <c r="X15" s="103">
        <v>0</v>
      </c>
      <c r="Y15" s="103">
        <v>0</v>
      </c>
      <c r="Z15" s="103">
        <v>5</v>
      </c>
      <c r="AA15" s="103">
        <v>3</v>
      </c>
      <c r="AB15" s="103">
        <v>11</v>
      </c>
      <c r="AC15" s="103">
        <v>141</v>
      </c>
      <c r="AD15" s="103">
        <v>5</v>
      </c>
      <c r="AE15" s="103">
        <v>147</v>
      </c>
      <c r="AF15" s="103">
        <v>155</v>
      </c>
      <c r="AG15" s="103">
        <v>224</v>
      </c>
      <c r="AH15" s="110">
        <f t="shared" si="0"/>
        <v>62.93333333333333</v>
      </c>
      <c r="AI15" s="111">
        <v>10000</v>
      </c>
      <c r="AJ15" s="111">
        <f t="shared" si="4"/>
        <v>2112</v>
      </c>
      <c r="AK15" s="112">
        <f t="shared" si="2"/>
        <v>0.2112</v>
      </c>
      <c r="AL15" s="113">
        <f t="shared" si="3"/>
        <v>7888</v>
      </c>
    </row>
    <row r="16" spans="1:38" ht="20">
      <c r="A16" s="99" t="s">
        <v>51</v>
      </c>
      <c r="B16" s="98" t="s">
        <v>52</v>
      </c>
      <c r="C16" s="103">
        <v>90</v>
      </c>
      <c r="D16" s="103">
        <v>58</v>
      </c>
      <c r="E16" s="103">
        <v>25</v>
      </c>
      <c r="F16" s="103">
        <v>16</v>
      </c>
      <c r="G16" s="103">
        <v>3</v>
      </c>
      <c r="H16" s="103">
        <v>7</v>
      </c>
      <c r="I16" s="103">
        <v>45</v>
      </c>
      <c r="J16" s="103">
        <v>89</v>
      </c>
      <c r="K16" s="103">
        <v>57</v>
      </c>
      <c r="L16" s="103">
        <v>173</v>
      </c>
      <c r="M16" s="103">
        <v>219</v>
      </c>
      <c r="N16" s="103">
        <v>316</v>
      </c>
      <c r="O16" s="103">
        <v>0</v>
      </c>
      <c r="P16" s="103">
        <v>55</v>
      </c>
      <c r="Q16" s="103">
        <v>1</v>
      </c>
      <c r="R16" s="103">
        <v>2</v>
      </c>
      <c r="S16" s="103">
        <v>97</v>
      </c>
      <c r="T16" s="103">
        <v>337</v>
      </c>
      <c r="U16" s="103">
        <v>1</v>
      </c>
      <c r="V16" s="103">
        <v>2</v>
      </c>
      <c r="W16" s="103">
        <v>1</v>
      </c>
      <c r="X16" s="103">
        <v>1</v>
      </c>
      <c r="Y16" s="103">
        <v>1</v>
      </c>
      <c r="Z16" s="103">
        <v>1</v>
      </c>
      <c r="AA16" s="103">
        <v>1</v>
      </c>
      <c r="AB16" s="103">
        <v>1</v>
      </c>
      <c r="AC16" s="103">
        <v>274</v>
      </c>
      <c r="AD16" s="103">
        <v>158</v>
      </c>
      <c r="AE16" s="103">
        <v>28</v>
      </c>
      <c r="AF16" s="103">
        <v>245</v>
      </c>
      <c r="AG16" s="103">
        <v>189</v>
      </c>
      <c r="AH16" s="110">
        <f t="shared" si="0"/>
        <v>76.8</v>
      </c>
      <c r="AI16" s="111">
        <v>10000</v>
      </c>
      <c r="AJ16" s="111">
        <f t="shared" si="4"/>
        <v>2493</v>
      </c>
      <c r="AK16" s="112">
        <f t="shared" si="2"/>
        <v>0.24929999999999999</v>
      </c>
      <c r="AL16" s="113">
        <f t="shared" si="3"/>
        <v>7507</v>
      </c>
    </row>
    <row r="17" spans="1:38" ht="20">
      <c r="A17" s="109" t="s">
        <v>53</v>
      </c>
      <c r="B17" s="98" t="s">
        <v>54</v>
      </c>
      <c r="C17" s="103">
        <v>0</v>
      </c>
      <c r="D17" s="103">
        <v>0</v>
      </c>
      <c r="E17" s="103">
        <v>0</v>
      </c>
      <c r="F17" s="103">
        <v>118</v>
      </c>
      <c r="G17" s="103">
        <v>5</v>
      </c>
      <c r="H17" s="103">
        <v>200</v>
      </c>
      <c r="I17" s="103">
        <v>116</v>
      </c>
      <c r="J17" s="103">
        <v>136</v>
      </c>
      <c r="K17" s="103">
        <v>231</v>
      </c>
      <c r="L17" s="103">
        <v>13</v>
      </c>
      <c r="M17" s="103">
        <v>310</v>
      </c>
      <c r="N17" s="103">
        <v>1</v>
      </c>
      <c r="O17" s="103">
        <v>0</v>
      </c>
      <c r="P17" s="103">
        <v>0</v>
      </c>
      <c r="Q17" s="103">
        <v>1</v>
      </c>
      <c r="R17" s="103">
        <v>0</v>
      </c>
      <c r="S17" s="103">
        <v>1</v>
      </c>
      <c r="T17" s="103">
        <v>242</v>
      </c>
      <c r="U17" s="103">
        <v>69</v>
      </c>
      <c r="V17" s="103">
        <v>1</v>
      </c>
      <c r="W17" s="103">
        <v>1</v>
      </c>
      <c r="X17" s="103">
        <v>1</v>
      </c>
      <c r="Y17" s="103">
        <v>1</v>
      </c>
      <c r="Z17" s="103">
        <v>10</v>
      </c>
      <c r="AA17" s="103">
        <v>2</v>
      </c>
      <c r="AB17" s="103">
        <v>11</v>
      </c>
      <c r="AC17" s="103">
        <v>156</v>
      </c>
      <c r="AD17" s="103">
        <v>86</v>
      </c>
      <c r="AE17" s="103">
        <v>32</v>
      </c>
      <c r="AF17" s="103">
        <v>219</v>
      </c>
      <c r="AG17" s="103">
        <v>1</v>
      </c>
      <c r="AH17" s="110">
        <f t="shared" si="0"/>
        <v>65.433333333333337</v>
      </c>
      <c r="AI17" s="111">
        <v>10000</v>
      </c>
      <c r="AJ17" s="111">
        <f t="shared" si="4"/>
        <v>1964</v>
      </c>
      <c r="AK17" s="112">
        <f t="shared" si="2"/>
        <v>0.19639999999999999</v>
      </c>
      <c r="AL17" s="113">
        <f t="shared" si="3"/>
        <v>8036</v>
      </c>
    </row>
    <row r="18" spans="1:38" ht="20">
      <c r="A18" s="99" t="s">
        <v>55</v>
      </c>
      <c r="B18" s="98" t="s">
        <v>68</v>
      </c>
      <c r="C18" s="103">
        <v>0</v>
      </c>
      <c r="D18" s="103">
        <v>78</v>
      </c>
      <c r="E18" s="103">
        <v>57</v>
      </c>
      <c r="F18" s="103">
        <v>184</v>
      </c>
      <c r="G18" s="103">
        <v>237</v>
      </c>
      <c r="H18" s="103">
        <v>287</v>
      </c>
      <c r="I18" s="103">
        <v>254</v>
      </c>
      <c r="J18" s="103">
        <v>203</v>
      </c>
      <c r="K18" s="103">
        <v>186</v>
      </c>
      <c r="L18" s="103">
        <v>81</v>
      </c>
      <c r="M18" s="103">
        <v>208</v>
      </c>
      <c r="N18" s="103">
        <v>262</v>
      </c>
      <c r="O18" s="103">
        <v>258</v>
      </c>
      <c r="P18" s="103">
        <v>204</v>
      </c>
      <c r="Q18" s="103">
        <v>2</v>
      </c>
      <c r="R18" s="103">
        <v>2</v>
      </c>
      <c r="S18" s="103">
        <v>5</v>
      </c>
      <c r="T18" s="103">
        <v>2</v>
      </c>
      <c r="U18" s="103">
        <v>89</v>
      </c>
      <c r="V18" s="103">
        <v>327</v>
      </c>
      <c r="W18" s="103">
        <v>183</v>
      </c>
      <c r="X18" s="103">
        <v>2</v>
      </c>
      <c r="Y18" s="103">
        <v>190</v>
      </c>
      <c r="Z18" s="103">
        <v>154</v>
      </c>
      <c r="AA18" s="103">
        <v>273</v>
      </c>
      <c r="AB18" s="103">
        <v>6</v>
      </c>
      <c r="AC18" s="103">
        <v>204</v>
      </c>
      <c r="AD18" s="103">
        <v>141</v>
      </c>
      <c r="AE18" s="103">
        <v>224</v>
      </c>
      <c r="AF18" s="103">
        <v>220</v>
      </c>
      <c r="AG18" s="103">
        <v>299</v>
      </c>
      <c r="AH18" s="110">
        <f t="shared" si="0"/>
        <v>150.76666666666668</v>
      </c>
      <c r="AI18" s="111">
        <v>10000</v>
      </c>
      <c r="AJ18" s="111">
        <f t="shared" si="4"/>
        <v>4822</v>
      </c>
      <c r="AK18" s="112">
        <f t="shared" si="2"/>
        <v>0.48220000000000002</v>
      </c>
      <c r="AL18" s="113">
        <f t="shared" si="3"/>
        <v>5178</v>
      </c>
    </row>
    <row r="19" spans="1:38" ht="20">
      <c r="A19" s="115" t="s">
        <v>58</v>
      </c>
      <c r="B19" s="98" t="s">
        <v>59</v>
      </c>
      <c r="C19" s="103">
        <v>10</v>
      </c>
      <c r="D19" s="103">
        <v>4</v>
      </c>
      <c r="E19" s="103">
        <v>1</v>
      </c>
      <c r="F19" s="103">
        <v>201</v>
      </c>
      <c r="G19" s="103">
        <v>207</v>
      </c>
      <c r="H19" s="103">
        <v>190</v>
      </c>
      <c r="I19" s="103">
        <v>81</v>
      </c>
      <c r="J19" s="103">
        <v>322</v>
      </c>
      <c r="K19" s="103">
        <v>87</v>
      </c>
      <c r="L19" s="103">
        <v>0</v>
      </c>
      <c r="M19" s="103">
        <v>0</v>
      </c>
      <c r="N19" s="103">
        <v>1</v>
      </c>
      <c r="O19" s="103">
        <v>246</v>
      </c>
      <c r="P19" s="103">
        <v>77</v>
      </c>
      <c r="Q19" s="103">
        <v>0</v>
      </c>
      <c r="R19" s="103">
        <v>0</v>
      </c>
      <c r="S19" s="103">
        <v>13</v>
      </c>
      <c r="T19" s="103">
        <v>1</v>
      </c>
      <c r="U19" s="103">
        <v>150</v>
      </c>
      <c r="V19" s="103">
        <v>262</v>
      </c>
      <c r="W19" s="103">
        <v>182</v>
      </c>
      <c r="X19" s="103">
        <v>2</v>
      </c>
      <c r="Y19" s="103">
        <v>194</v>
      </c>
      <c r="Z19" s="103">
        <v>82</v>
      </c>
      <c r="AA19" s="103">
        <v>216</v>
      </c>
      <c r="AB19" s="103">
        <v>4</v>
      </c>
      <c r="AC19" s="103">
        <v>203</v>
      </c>
      <c r="AD19" s="103">
        <v>116</v>
      </c>
      <c r="AE19" s="103">
        <v>146</v>
      </c>
      <c r="AF19" s="103">
        <v>30</v>
      </c>
      <c r="AG19" s="103">
        <v>276</v>
      </c>
      <c r="AH19" s="110">
        <f t="shared" si="0"/>
        <v>100.93333333333334</v>
      </c>
      <c r="AI19" s="111">
        <v>10000</v>
      </c>
      <c r="AJ19" s="111">
        <f t="shared" si="4"/>
        <v>3304</v>
      </c>
      <c r="AK19" s="112">
        <f t="shared" si="2"/>
        <v>0.33040000000000003</v>
      </c>
      <c r="AL19" s="113">
        <f t="shared" si="3"/>
        <v>6696</v>
      </c>
    </row>
    <row r="20" spans="1:38" ht="20">
      <c r="A20" s="99" t="s">
        <v>60</v>
      </c>
      <c r="B20" s="98" t="s">
        <v>61</v>
      </c>
      <c r="C20" s="103">
        <v>10</v>
      </c>
      <c r="D20" s="103">
        <v>4</v>
      </c>
      <c r="E20" s="103">
        <v>1</v>
      </c>
      <c r="F20" s="103">
        <v>250</v>
      </c>
      <c r="G20" s="103">
        <v>205</v>
      </c>
      <c r="H20" s="103">
        <v>372</v>
      </c>
      <c r="I20" s="103">
        <v>292</v>
      </c>
      <c r="J20" s="103">
        <v>0</v>
      </c>
      <c r="K20" s="103">
        <v>135</v>
      </c>
      <c r="L20" s="103">
        <v>92</v>
      </c>
      <c r="M20" s="103">
        <v>3</v>
      </c>
      <c r="N20" s="103">
        <v>0</v>
      </c>
      <c r="O20" s="103">
        <v>0</v>
      </c>
      <c r="P20" s="103">
        <v>13</v>
      </c>
      <c r="Q20" s="103">
        <v>226</v>
      </c>
      <c r="R20" s="103">
        <v>235</v>
      </c>
      <c r="S20" s="103">
        <v>0</v>
      </c>
      <c r="T20" s="103">
        <v>135</v>
      </c>
      <c r="U20" s="103">
        <v>359</v>
      </c>
      <c r="V20" s="103">
        <v>185</v>
      </c>
      <c r="W20" s="103">
        <v>225</v>
      </c>
      <c r="X20" s="103">
        <v>0</v>
      </c>
      <c r="Y20" s="103">
        <v>0</v>
      </c>
      <c r="Z20" s="103">
        <v>0</v>
      </c>
      <c r="AA20" s="103">
        <v>4</v>
      </c>
      <c r="AB20" s="103">
        <v>0</v>
      </c>
      <c r="AC20" s="103">
        <v>140</v>
      </c>
      <c r="AD20" s="103">
        <v>105</v>
      </c>
      <c r="AE20" s="103">
        <v>228</v>
      </c>
      <c r="AF20" s="103">
        <v>2</v>
      </c>
      <c r="AG20" s="103">
        <v>198</v>
      </c>
      <c r="AH20" s="110">
        <f t="shared" si="0"/>
        <v>107.36666666666666</v>
      </c>
      <c r="AI20" s="111">
        <v>10000</v>
      </c>
      <c r="AJ20" s="111">
        <f t="shared" si="4"/>
        <v>3419</v>
      </c>
      <c r="AK20" s="112">
        <f t="shared" si="2"/>
        <v>0.34189999999999998</v>
      </c>
      <c r="AL20" s="113">
        <f t="shared" si="3"/>
        <v>6581</v>
      </c>
    </row>
    <row r="21" spans="1:38" ht="20">
      <c r="A21" s="99" t="s">
        <v>62</v>
      </c>
      <c r="B21" s="98" t="s">
        <v>63</v>
      </c>
      <c r="C21" s="103">
        <v>11</v>
      </c>
      <c r="D21" s="103">
        <v>5</v>
      </c>
      <c r="E21" s="103">
        <v>1</v>
      </c>
      <c r="F21" s="103">
        <v>204</v>
      </c>
      <c r="G21" s="103">
        <v>248</v>
      </c>
      <c r="H21" s="103">
        <v>225</v>
      </c>
      <c r="I21" s="103">
        <v>0</v>
      </c>
      <c r="J21" s="103">
        <v>203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224</v>
      </c>
      <c r="R21" s="103">
        <v>261</v>
      </c>
      <c r="S21" s="103">
        <v>104</v>
      </c>
      <c r="T21" s="103">
        <v>94</v>
      </c>
      <c r="U21" s="103">
        <v>309</v>
      </c>
      <c r="V21" s="103">
        <v>1</v>
      </c>
      <c r="W21" s="103">
        <v>0</v>
      </c>
      <c r="X21" s="103">
        <v>1</v>
      </c>
      <c r="Y21" s="103">
        <v>8</v>
      </c>
      <c r="Z21" s="103">
        <v>12</v>
      </c>
      <c r="AA21" s="103">
        <v>2</v>
      </c>
      <c r="AB21" s="103">
        <v>11</v>
      </c>
      <c r="AC21" s="103">
        <v>188</v>
      </c>
      <c r="AD21" s="103">
        <v>114</v>
      </c>
      <c r="AE21" s="103">
        <v>238</v>
      </c>
      <c r="AF21" s="103">
        <v>8</v>
      </c>
      <c r="AG21" s="103">
        <v>373</v>
      </c>
      <c r="AH21" s="110">
        <f t="shared" si="0"/>
        <v>82.4</v>
      </c>
      <c r="AI21" s="111">
        <v>10000</v>
      </c>
      <c r="AJ21" s="111">
        <f t="shared" si="4"/>
        <v>2845</v>
      </c>
      <c r="AK21" s="112">
        <f t="shared" si="2"/>
        <v>0.28449999999999998</v>
      </c>
      <c r="AL21" s="113">
        <f t="shared" si="3"/>
        <v>7155</v>
      </c>
    </row>
    <row r="22" spans="1:38" ht="20">
      <c r="A22" s="99" t="s">
        <v>64</v>
      </c>
      <c r="B22" s="98" t="s">
        <v>65</v>
      </c>
      <c r="C22" s="103">
        <v>10</v>
      </c>
      <c r="D22" s="103">
        <v>3</v>
      </c>
      <c r="E22" s="103">
        <v>1</v>
      </c>
      <c r="F22" s="103">
        <v>204</v>
      </c>
      <c r="G22" s="103">
        <v>249</v>
      </c>
      <c r="H22" s="103">
        <v>377</v>
      </c>
      <c r="I22" s="103">
        <v>310</v>
      </c>
      <c r="J22" s="103">
        <v>131</v>
      </c>
      <c r="K22" s="103">
        <v>77</v>
      </c>
      <c r="L22" s="103">
        <v>0</v>
      </c>
      <c r="M22" s="103">
        <v>1</v>
      </c>
      <c r="N22" s="103">
        <v>1</v>
      </c>
      <c r="O22" s="103">
        <v>1</v>
      </c>
      <c r="P22" s="103">
        <v>6</v>
      </c>
      <c r="Q22" s="103">
        <v>200</v>
      </c>
      <c r="R22" s="103">
        <v>199</v>
      </c>
      <c r="S22" s="103">
        <v>145</v>
      </c>
      <c r="T22" s="103">
        <v>111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9</v>
      </c>
      <c r="AA22" s="103">
        <v>2</v>
      </c>
      <c r="AB22" s="103">
        <v>1</v>
      </c>
      <c r="AC22" s="103">
        <v>149</v>
      </c>
      <c r="AD22" s="103">
        <v>128</v>
      </c>
      <c r="AE22" s="103">
        <v>4</v>
      </c>
      <c r="AF22" s="103">
        <v>0</v>
      </c>
      <c r="AG22" s="103">
        <v>1</v>
      </c>
      <c r="AH22" s="110">
        <f>AVERAGE(C22:AF22)</f>
        <v>77.3</v>
      </c>
      <c r="AI22" s="111">
        <v>10000</v>
      </c>
      <c r="AJ22" s="111">
        <f t="shared" si="4"/>
        <v>2320</v>
      </c>
      <c r="AK22" s="112">
        <f t="shared" si="2"/>
        <v>0.23200000000000001</v>
      </c>
      <c r="AL22" s="113">
        <f t="shared" si="3"/>
        <v>7680</v>
      </c>
    </row>
    <row r="23" spans="1:38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10" t="e">
        <f t="shared" si="0"/>
        <v>#DIV/0!</v>
      </c>
      <c r="AI23" s="111">
        <v>10000</v>
      </c>
      <c r="AJ23" s="111">
        <f t="shared" si="1"/>
        <v>0</v>
      </c>
      <c r="AK23" s="112">
        <f>AJ23/AI23</f>
        <v>0</v>
      </c>
      <c r="AL23" s="113">
        <f>AI23-AJ23</f>
        <v>10000</v>
      </c>
    </row>
    <row r="24" spans="1:38" s="116" customFormat="1" ht="28.5" customHeight="1">
      <c r="B24" s="124" t="s">
        <v>70</v>
      </c>
      <c r="C24" s="118">
        <f t="shared" ref="C24:Q24" si="5">SUM(C6:C22)</f>
        <v>660</v>
      </c>
      <c r="D24" s="118">
        <f t="shared" si="5"/>
        <v>1541</v>
      </c>
      <c r="E24" s="118">
        <f t="shared" si="5"/>
        <v>2104</v>
      </c>
      <c r="F24" s="118">
        <f t="shared" si="5"/>
        <v>1797</v>
      </c>
      <c r="G24" s="118">
        <f t="shared" si="5"/>
        <v>1973</v>
      </c>
      <c r="H24" s="118">
        <f t="shared" si="5"/>
        <v>3376</v>
      </c>
      <c r="I24" s="118">
        <f t="shared" si="5"/>
        <v>2429</v>
      </c>
      <c r="J24" s="118">
        <f t="shared" si="5"/>
        <v>2770</v>
      </c>
      <c r="K24" s="118">
        <f t="shared" si="5"/>
        <v>2318</v>
      </c>
      <c r="L24" s="118">
        <f t="shared" si="5"/>
        <v>1160</v>
      </c>
      <c r="M24" s="118">
        <f t="shared" si="5"/>
        <v>1810</v>
      </c>
      <c r="N24" s="118">
        <f t="shared" si="5"/>
        <v>899</v>
      </c>
      <c r="O24" s="118">
        <f t="shared" si="5"/>
        <v>847</v>
      </c>
      <c r="P24" s="118">
        <f t="shared" si="5"/>
        <v>1090</v>
      </c>
      <c r="Q24" s="118">
        <f t="shared" si="5"/>
        <v>1701</v>
      </c>
      <c r="R24" s="118">
        <f>SUM(Q6:Q22)</f>
        <v>1701</v>
      </c>
      <c r="S24" s="118">
        <f>SUM(R6:R22)</f>
        <v>2088</v>
      </c>
      <c r="T24" s="118">
        <f t="shared" ref="T24:AF24" si="6">SUM(T6:T22)</f>
        <v>2881</v>
      </c>
      <c r="U24" s="118">
        <f t="shared" si="6"/>
        <v>2541</v>
      </c>
      <c r="V24" s="118">
        <f t="shared" si="6"/>
        <v>1604</v>
      </c>
      <c r="W24" s="118">
        <f t="shared" si="6"/>
        <v>1708</v>
      </c>
      <c r="X24" s="118">
        <f t="shared" si="6"/>
        <v>150</v>
      </c>
      <c r="Y24" s="118">
        <f>SUM(Y6:Y21)</f>
        <v>987</v>
      </c>
      <c r="Z24" s="118">
        <f t="shared" si="6"/>
        <v>332</v>
      </c>
      <c r="AA24" s="118">
        <f t="shared" si="6"/>
        <v>534</v>
      </c>
      <c r="AB24" s="118">
        <f t="shared" si="6"/>
        <v>154</v>
      </c>
      <c r="AC24" s="118">
        <f t="shared" si="6"/>
        <v>2678</v>
      </c>
      <c r="AD24" s="118">
        <f t="shared" si="6"/>
        <v>2141</v>
      </c>
      <c r="AE24" s="118">
        <f t="shared" si="6"/>
        <v>2311</v>
      </c>
      <c r="AF24" s="118">
        <f t="shared" si="6"/>
        <v>1585</v>
      </c>
      <c r="AG24" s="118"/>
      <c r="AH24" s="119"/>
      <c r="AI24" s="121">
        <f>SUM(AI6:AI22)</f>
        <v>170000</v>
      </c>
      <c r="AJ24" s="121">
        <f>SUM(AJ6:AJ22)</f>
        <v>52421</v>
      </c>
      <c r="AK24" s="122">
        <f>AJ24/AI24</f>
        <v>0.30835882352941174</v>
      </c>
      <c r="AL24" s="119"/>
    </row>
    <row r="25" spans="1:38" s="116" customFormat="1" ht="28.5" customHeight="1">
      <c r="B25" s="124" t="s">
        <v>83</v>
      </c>
      <c r="C25" s="117">
        <v>3150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/>
      <c r="AH25" s="119"/>
      <c r="AI25" s="227">
        <f>AVERAGE(AI6:AI22)</f>
        <v>10000</v>
      </c>
      <c r="AJ25" s="227">
        <f>AVERAGE(AJ6:AJ22)</f>
        <v>3083.5882352941176</v>
      </c>
    </row>
    <row r="26" spans="1:38" s="116" customFormat="1" ht="15">
      <c r="B26" s="124" t="s">
        <v>72</v>
      </c>
      <c r="C26" s="123">
        <f>C27/C28</f>
        <v>8.6274509803921567E-2</v>
      </c>
      <c r="D26" s="123">
        <f t="shared" ref="D26:AF26" si="7">D27/D28</f>
        <v>0.20143790849673202</v>
      </c>
      <c r="E26" s="123">
        <f t="shared" si="7"/>
        <v>0.2750326797385621</v>
      </c>
      <c r="F26" s="123">
        <f t="shared" si="7"/>
        <v>0.23490196078431372</v>
      </c>
      <c r="G26" s="123">
        <f>G27/G28</f>
        <v>0.25790849673202615</v>
      </c>
      <c r="H26" s="123">
        <f t="shared" si="7"/>
        <v>0.44130718954248366</v>
      </c>
      <c r="I26" s="123">
        <f t="shared" si="7"/>
        <v>0.31751633986928102</v>
      </c>
      <c r="J26" s="123">
        <f t="shared" si="7"/>
        <v>0.36209150326797385</v>
      </c>
      <c r="K26" s="123">
        <f t="shared" si="7"/>
        <v>0.30300653594771237</v>
      </c>
      <c r="L26" s="123">
        <f t="shared" si="7"/>
        <v>0.15163398692810456</v>
      </c>
      <c r="M26" s="123">
        <f t="shared" si="7"/>
        <v>0.23660130718954248</v>
      </c>
      <c r="N26" s="123">
        <f t="shared" si="7"/>
        <v>0.11751633986928105</v>
      </c>
      <c r="O26" s="123">
        <f t="shared" si="7"/>
        <v>0.110718954248366</v>
      </c>
      <c r="P26" s="123">
        <f t="shared" si="7"/>
        <v>0.14248366013071898</v>
      </c>
      <c r="Q26" s="123">
        <f t="shared" si="7"/>
        <v>0.22235294117647059</v>
      </c>
      <c r="R26" s="123">
        <f>R27/R28</f>
        <v>0.22235294117647059</v>
      </c>
      <c r="S26" s="123">
        <f t="shared" si="7"/>
        <v>0.27294117647058824</v>
      </c>
      <c r="T26" s="123">
        <f t="shared" si="7"/>
        <v>0.37660130718954249</v>
      </c>
      <c r="U26" s="123">
        <f t="shared" si="7"/>
        <v>0.33215686274509804</v>
      </c>
      <c r="V26" s="123">
        <f t="shared" si="7"/>
        <v>0.20967320261437911</v>
      </c>
      <c r="W26" s="123">
        <f t="shared" si="7"/>
        <v>0.22326797385620914</v>
      </c>
      <c r="X26" s="123">
        <f t="shared" si="7"/>
        <v>1.9607843137254902E-2</v>
      </c>
      <c r="Y26" s="123">
        <f t="shared" si="7"/>
        <v>0.13708333333333333</v>
      </c>
      <c r="Z26" s="123">
        <f t="shared" si="7"/>
        <v>4.3398692810457523E-2</v>
      </c>
      <c r="AA26" s="123">
        <f t="shared" si="7"/>
        <v>6.9803921568627442E-2</v>
      </c>
      <c r="AB26" s="123">
        <f t="shared" si="7"/>
        <v>2.0130718954248367E-2</v>
      </c>
      <c r="AC26" s="123">
        <f t="shared" si="7"/>
        <v>0.35006535947712419</v>
      </c>
      <c r="AD26" s="123">
        <f t="shared" si="7"/>
        <v>0.27986928104575165</v>
      </c>
      <c r="AE26" s="123">
        <f t="shared" si="7"/>
        <v>0.30209150326797385</v>
      </c>
      <c r="AF26" s="123">
        <f t="shared" si="7"/>
        <v>0.20718954248366012</v>
      </c>
      <c r="AG26" s="123"/>
      <c r="AH26" s="119"/>
    </row>
    <row r="27" spans="1:38" s="116" customFormat="1" ht="15">
      <c r="B27" s="124" t="s">
        <v>75</v>
      </c>
      <c r="C27" s="118">
        <f>AVERAGE(C6:C22)</f>
        <v>38.823529411764703</v>
      </c>
      <c r="D27" s="118">
        <f t="shared" ref="D27:AF27" si="8">AVERAGE(D6:D22)</f>
        <v>90.647058823529406</v>
      </c>
      <c r="E27" s="118">
        <f t="shared" si="8"/>
        <v>123.76470588235294</v>
      </c>
      <c r="F27" s="118">
        <f t="shared" si="8"/>
        <v>105.70588235294117</v>
      </c>
      <c r="G27" s="118">
        <f>AVERAGE(G6:G22)</f>
        <v>116.05882352941177</v>
      </c>
      <c r="H27" s="118">
        <f t="shared" si="8"/>
        <v>198.58823529411765</v>
      </c>
      <c r="I27" s="118">
        <f t="shared" si="8"/>
        <v>142.88235294117646</v>
      </c>
      <c r="J27" s="118">
        <f t="shared" si="8"/>
        <v>162.94117647058823</v>
      </c>
      <c r="K27" s="118">
        <f t="shared" si="8"/>
        <v>136.35294117647058</v>
      </c>
      <c r="L27" s="118">
        <f t="shared" si="8"/>
        <v>68.235294117647058</v>
      </c>
      <c r="M27" s="118">
        <f t="shared" si="8"/>
        <v>106.47058823529412</v>
      </c>
      <c r="N27" s="118">
        <f t="shared" si="8"/>
        <v>52.882352941176471</v>
      </c>
      <c r="O27" s="118">
        <f t="shared" si="8"/>
        <v>49.823529411764703</v>
      </c>
      <c r="P27" s="118">
        <f t="shared" si="8"/>
        <v>64.117647058823536</v>
      </c>
      <c r="Q27" s="118">
        <f t="shared" si="8"/>
        <v>100.05882352941177</v>
      </c>
      <c r="R27" s="118">
        <f>AVERAGE(Q6:Q22)</f>
        <v>100.05882352941177</v>
      </c>
      <c r="S27" s="118">
        <f>AVERAGE(R6:R22)</f>
        <v>122.82352941176471</v>
      </c>
      <c r="T27" s="118">
        <f t="shared" si="8"/>
        <v>169.47058823529412</v>
      </c>
      <c r="U27" s="118">
        <f t="shared" si="8"/>
        <v>149.47058823529412</v>
      </c>
      <c r="V27" s="118">
        <f t="shared" si="8"/>
        <v>94.352941176470594</v>
      </c>
      <c r="W27" s="118">
        <f t="shared" si="8"/>
        <v>100.47058823529412</v>
      </c>
      <c r="X27" s="118">
        <f t="shared" si="8"/>
        <v>8.8235294117647065</v>
      </c>
      <c r="Y27" s="118">
        <f>AVERAGE(Y6:Y21)</f>
        <v>61.6875</v>
      </c>
      <c r="Z27" s="118">
        <f t="shared" si="8"/>
        <v>19.529411764705884</v>
      </c>
      <c r="AA27" s="118">
        <f t="shared" si="8"/>
        <v>31.411764705882351</v>
      </c>
      <c r="AB27" s="118">
        <f t="shared" si="8"/>
        <v>9.0588235294117645</v>
      </c>
      <c r="AC27" s="118">
        <f t="shared" si="8"/>
        <v>157.52941176470588</v>
      </c>
      <c r="AD27" s="118">
        <f t="shared" si="8"/>
        <v>125.94117647058823</v>
      </c>
      <c r="AE27" s="118">
        <f t="shared" si="8"/>
        <v>135.94117647058823</v>
      </c>
      <c r="AF27" s="118">
        <f t="shared" si="8"/>
        <v>93.235294117647058</v>
      </c>
      <c r="AG27" s="158"/>
      <c r="AH27" s="126"/>
    </row>
    <row r="28" spans="1:38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59"/>
    </row>
    <row r="35" spans="10:10">
      <c r="J35" s="247"/>
    </row>
  </sheetData>
  <mergeCells count="1">
    <mergeCell ref="C1:AF1"/>
  </mergeCells>
  <conditionalFormatting sqref="A8">
    <cfRule type="duplicateValues" dxfId="75" priority="6"/>
  </conditionalFormatting>
  <conditionalFormatting sqref="A10:A11 A7">
    <cfRule type="duplicateValues" dxfId="74" priority="7"/>
  </conditionalFormatting>
  <conditionalFormatting sqref="A13">
    <cfRule type="duplicateValues" dxfId="73" priority="4"/>
  </conditionalFormatting>
  <conditionalFormatting sqref="A14">
    <cfRule type="duplicateValues" dxfId="72" priority="5"/>
  </conditionalFormatting>
  <conditionalFormatting sqref="A16:A17 A12">
    <cfRule type="duplicateValues" dxfId="71" priority="10"/>
  </conditionalFormatting>
  <conditionalFormatting sqref="A22 A15 A9 A3:A6">
    <cfRule type="duplicateValues" dxfId="70" priority="9"/>
  </conditionalFormatting>
  <conditionalFormatting sqref="A23 A18:A20">
    <cfRule type="duplicateValues" dxfId="69" priority="8"/>
  </conditionalFormatting>
  <conditionalFormatting sqref="C3:AG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L3:AL23">
    <cfRule type="cellIs" dxfId="68" priority="2" operator="lessThan">
      <formula>0</formula>
    </cfRule>
    <cfRule type="cellIs" dxfId="67" priority="3" operator="greaterThan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D651-93B4-46CC-BCB7-B33B5E50071E}">
  <dimension ref="A1:AK29"/>
  <sheetViews>
    <sheetView zoomScale="68" zoomScaleNormal="68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AI3" sqref="AI3:AI23"/>
    </sheetView>
  </sheetViews>
  <sheetFormatPr defaultRowHeight="14.5"/>
  <cols>
    <col min="1" max="1" width="16" customWidth="1"/>
    <col min="2" max="2" width="39.36328125" customWidth="1"/>
    <col min="3" max="13" width="7.26953125" bestFit="1" customWidth="1"/>
    <col min="14" max="14" width="10.36328125" bestFit="1" customWidth="1"/>
    <col min="15" max="17" width="6.7265625" customWidth="1"/>
    <col min="18" max="18" width="7" bestFit="1" customWidth="1"/>
    <col min="19" max="32" width="6.7265625" customWidth="1"/>
    <col min="33" max="33" width="10.6328125" bestFit="1" customWidth="1"/>
    <col min="34" max="34" width="16.08984375" bestFit="1" customWidth="1"/>
    <col min="35" max="35" width="18.6328125" bestFit="1" customWidth="1"/>
    <col min="36" max="36" width="13.36328125" customWidth="1"/>
    <col min="37" max="37" width="13" customWidth="1"/>
  </cols>
  <sheetData>
    <row r="1" spans="1:37" ht="35.25" customHeight="1">
      <c r="B1" s="127" t="s">
        <v>150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</row>
    <row r="2" spans="1:37" ht="73.5" customHeight="1">
      <c r="A2" s="60" t="s">
        <v>4</v>
      </c>
      <c r="B2" s="61" t="s">
        <v>5</v>
      </c>
      <c r="C2" s="100">
        <v>45170</v>
      </c>
      <c r="D2" s="100">
        <v>45171</v>
      </c>
      <c r="E2" s="100">
        <v>45172</v>
      </c>
      <c r="F2" s="100">
        <v>45173</v>
      </c>
      <c r="G2" s="100">
        <v>45174</v>
      </c>
      <c r="H2" s="100">
        <v>45175</v>
      </c>
      <c r="I2" s="100">
        <v>45176</v>
      </c>
      <c r="J2" s="100">
        <v>45177</v>
      </c>
      <c r="K2" s="100">
        <v>45178</v>
      </c>
      <c r="L2" s="100">
        <v>45179</v>
      </c>
      <c r="M2" s="100">
        <v>45180</v>
      </c>
      <c r="N2" s="100">
        <v>45181</v>
      </c>
      <c r="O2" s="100">
        <v>45182</v>
      </c>
      <c r="P2" s="100">
        <v>45183</v>
      </c>
      <c r="Q2" s="100">
        <v>45184</v>
      </c>
      <c r="R2" s="100">
        <v>45185</v>
      </c>
      <c r="S2" s="100">
        <v>45186</v>
      </c>
      <c r="T2" s="100">
        <v>45187</v>
      </c>
      <c r="U2" s="100">
        <v>45188</v>
      </c>
      <c r="V2" s="100">
        <v>45189</v>
      </c>
      <c r="W2" s="100">
        <v>45190</v>
      </c>
      <c r="X2" s="100">
        <v>45191</v>
      </c>
      <c r="Y2" s="100">
        <v>45192</v>
      </c>
      <c r="Z2" s="100">
        <v>45193</v>
      </c>
      <c r="AA2" s="100">
        <v>45194</v>
      </c>
      <c r="AB2" s="100">
        <v>45195</v>
      </c>
      <c r="AC2" s="100">
        <v>45196</v>
      </c>
      <c r="AD2" s="100">
        <v>45197</v>
      </c>
      <c r="AE2" s="100">
        <v>45198</v>
      </c>
      <c r="AF2" s="100">
        <v>45199</v>
      </c>
      <c r="AG2" s="101" t="s">
        <v>79</v>
      </c>
      <c r="AH2" s="106" t="s">
        <v>18</v>
      </c>
      <c r="AI2" s="125" t="s">
        <v>77</v>
      </c>
      <c r="AJ2" s="107" t="s">
        <v>20</v>
      </c>
      <c r="AK2" s="108" t="s">
        <v>78</v>
      </c>
    </row>
    <row r="3" spans="1:37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10">
        <f t="shared" ref="AG3:AG10" si="0">AVERAGE(C3:AF3)</f>
        <v>0</v>
      </c>
      <c r="AH3" s="111">
        <v>10000</v>
      </c>
      <c r="AI3" s="111">
        <f>SUM(C3:AF3)</f>
        <v>0</v>
      </c>
      <c r="AJ3" s="112">
        <f>AI3/AH3</f>
        <v>0</v>
      </c>
      <c r="AK3" s="113">
        <f>AH3-AI3</f>
        <v>10000</v>
      </c>
    </row>
    <row r="4" spans="1:37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10">
        <f t="shared" si="0"/>
        <v>0</v>
      </c>
      <c r="AH4" s="111">
        <v>10000</v>
      </c>
      <c r="AI4" s="111">
        <f t="shared" ref="AI4:AI23" si="1">SUM(C4:AF4)</f>
        <v>0</v>
      </c>
      <c r="AJ4" s="112">
        <f t="shared" ref="AJ4:AJ22" si="2">AI4/AH4</f>
        <v>0</v>
      </c>
      <c r="AK4" s="113">
        <f t="shared" ref="AK4:AK22" si="3">AH4-AI4</f>
        <v>10000</v>
      </c>
    </row>
    <row r="5" spans="1:37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10">
        <f t="shared" si="0"/>
        <v>0</v>
      </c>
      <c r="AH5" s="111">
        <v>10000</v>
      </c>
      <c r="AI5" s="111">
        <f t="shared" si="1"/>
        <v>0</v>
      </c>
      <c r="AJ5" s="112">
        <f t="shared" si="2"/>
        <v>0</v>
      </c>
      <c r="AK5" s="113">
        <f t="shared" si="3"/>
        <v>10000</v>
      </c>
    </row>
    <row r="6" spans="1:37" ht="20">
      <c r="A6" s="99" t="s">
        <v>33</v>
      </c>
      <c r="B6" s="98" t="s">
        <v>34</v>
      </c>
      <c r="C6" s="103">
        <v>0</v>
      </c>
      <c r="D6" s="103">
        <v>0</v>
      </c>
      <c r="E6" s="103">
        <v>0</v>
      </c>
      <c r="F6" s="103">
        <v>0</v>
      </c>
      <c r="G6" s="103">
        <v>0</v>
      </c>
      <c r="H6" s="103">
        <v>0</v>
      </c>
      <c r="I6" s="103">
        <v>0</v>
      </c>
      <c r="J6" s="103">
        <v>19</v>
      </c>
      <c r="K6" s="103">
        <v>547</v>
      </c>
      <c r="L6" s="103">
        <v>247</v>
      </c>
      <c r="M6" s="103">
        <v>106</v>
      </c>
      <c r="N6" s="103">
        <v>79</v>
      </c>
      <c r="O6" s="103">
        <v>181</v>
      </c>
      <c r="P6" s="103">
        <v>0</v>
      </c>
      <c r="Q6" s="103">
        <v>241</v>
      </c>
      <c r="R6" s="103">
        <v>122</v>
      </c>
      <c r="S6" s="103">
        <v>251</v>
      </c>
      <c r="T6" s="103">
        <v>225</v>
      </c>
      <c r="U6" s="103">
        <v>313</v>
      </c>
      <c r="V6" s="103">
        <v>29</v>
      </c>
      <c r="W6" s="103">
        <v>0</v>
      </c>
      <c r="X6" s="103">
        <v>25</v>
      </c>
      <c r="Y6" s="103">
        <v>0</v>
      </c>
      <c r="Z6" s="103">
        <v>0</v>
      </c>
      <c r="AA6" s="103">
        <v>0</v>
      </c>
      <c r="AB6" s="103">
        <v>0</v>
      </c>
      <c r="AC6" s="103">
        <v>0</v>
      </c>
      <c r="AD6" s="103">
        <v>0</v>
      </c>
      <c r="AE6" s="103">
        <v>184</v>
      </c>
      <c r="AF6" s="103">
        <v>336</v>
      </c>
      <c r="AG6" s="110">
        <f t="shared" si="0"/>
        <v>96.833333333333329</v>
      </c>
      <c r="AH6" s="111">
        <v>10000</v>
      </c>
      <c r="AI6" s="111">
        <f t="shared" si="1"/>
        <v>2905</v>
      </c>
      <c r="AJ6" s="112">
        <f>AI6/AH6</f>
        <v>0.29049999999999998</v>
      </c>
      <c r="AK6" s="113">
        <f t="shared" si="3"/>
        <v>7095</v>
      </c>
    </row>
    <row r="7" spans="1:37" ht="20">
      <c r="A7" s="99" t="s">
        <v>35</v>
      </c>
      <c r="B7" s="98" t="s">
        <v>36</v>
      </c>
      <c r="C7" s="103">
        <v>5</v>
      </c>
      <c r="D7" s="103">
        <v>35</v>
      </c>
      <c r="E7" s="103">
        <v>410</v>
      </c>
      <c r="F7" s="103">
        <v>297</v>
      </c>
      <c r="G7" s="103">
        <v>301</v>
      </c>
      <c r="H7" s="103">
        <v>236</v>
      </c>
      <c r="I7" s="103">
        <v>288</v>
      </c>
      <c r="J7" s="103">
        <v>277</v>
      </c>
      <c r="K7" s="103">
        <v>0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259</v>
      </c>
      <c r="R7" s="103">
        <v>253</v>
      </c>
      <c r="S7" s="103">
        <v>0</v>
      </c>
      <c r="T7" s="103">
        <v>0</v>
      </c>
      <c r="U7" s="103">
        <v>132</v>
      </c>
      <c r="V7" s="103">
        <v>390</v>
      </c>
      <c r="W7" s="103">
        <v>227</v>
      </c>
      <c r="X7" s="103">
        <v>321</v>
      </c>
      <c r="Y7" s="103">
        <v>227</v>
      </c>
      <c r="Z7" s="103">
        <v>291</v>
      </c>
      <c r="AA7" s="103">
        <v>276</v>
      </c>
      <c r="AB7" s="103">
        <v>0</v>
      </c>
      <c r="AC7" s="103">
        <v>213</v>
      </c>
      <c r="AD7" s="103">
        <v>269</v>
      </c>
      <c r="AE7" s="103">
        <v>0</v>
      </c>
      <c r="AF7" s="103">
        <v>32</v>
      </c>
      <c r="AG7" s="110">
        <f t="shared" si="0"/>
        <v>157.96666666666667</v>
      </c>
      <c r="AH7" s="111">
        <v>10000</v>
      </c>
      <c r="AI7" s="111">
        <f t="shared" si="1"/>
        <v>4739</v>
      </c>
      <c r="AJ7" s="112">
        <f t="shared" si="2"/>
        <v>0.47389999999999999</v>
      </c>
      <c r="AK7" s="113">
        <f t="shared" si="3"/>
        <v>5261</v>
      </c>
    </row>
    <row r="8" spans="1:37" ht="20">
      <c r="A8" s="99" t="s">
        <v>37</v>
      </c>
      <c r="B8" s="98" t="s">
        <v>73</v>
      </c>
      <c r="C8" s="103">
        <v>0</v>
      </c>
      <c r="D8" s="103">
        <v>0</v>
      </c>
      <c r="E8" s="103">
        <v>0</v>
      </c>
      <c r="F8" s="103">
        <v>1</v>
      </c>
      <c r="G8" s="103">
        <v>8</v>
      </c>
      <c r="H8" s="103">
        <v>12</v>
      </c>
      <c r="I8" s="103">
        <v>221</v>
      </c>
      <c r="J8" s="103">
        <v>254</v>
      </c>
      <c r="K8" s="103">
        <v>149</v>
      </c>
      <c r="L8" s="103">
        <v>235</v>
      </c>
      <c r="M8" s="103">
        <v>117</v>
      </c>
      <c r="N8" s="103">
        <v>21</v>
      </c>
      <c r="O8" s="103">
        <v>193</v>
      </c>
      <c r="P8" s="103">
        <v>1</v>
      </c>
      <c r="Q8" s="103">
        <v>238</v>
      </c>
      <c r="R8" s="103">
        <v>136</v>
      </c>
      <c r="S8" s="103">
        <v>1</v>
      </c>
      <c r="T8" s="103">
        <v>255</v>
      </c>
      <c r="U8" s="103">
        <v>196</v>
      </c>
      <c r="V8" s="103">
        <v>340</v>
      </c>
      <c r="W8" s="103">
        <v>0</v>
      </c>
      <c r="X8" s="103">
        <v>23</v>
      </c>
      <c r="Y8" s="103">
        <v>0</v>
      </c>
      <c r="Z8" s="103">
        <v>1</v>
      </c>
      <c r="AA8" s="103">
        <v>0</v>
      </c>
      <c r="AB8" s="103">
        <v>0</v>
      </c>
      <c r="AC8" s="103">
        <v>0</v>
      </c>
      <c r="AD8" s="103">
        <v>0</v>
      </c>
      <c r="AE8" s="103">
        <v>0</v>
      </c>
      <c r="AF8" s="103">
        <v>35</v>
      </c>
      <c r="AG8" s="110">
        <f t="shared" si="0"/>
        <v>81.233333333333334</v>
      </c>
      <c r="AH8" s="111">
        <v>10000</v>
      </c>
      <c r="AI8" s="111">
        <v>2850</v>
      </c>
      <c r="AJ8" s="112">
        <f t="shared" si="2"/>
        <v>0.28499999999999998</v>
      </c>
      <c r="AK8" s="113">
        <f t="shared" si="3"/>
        <v>7150</v>
      </c>
    </row>
    <row r="9" spans="1:37" ht="20">
      <c r="A9" s="99" t="s">
        <v>38</v>
      </c>
      <c r="B9" s="98" t="s">
        <v>39</v>
      </c>
      <c r="C9" s="103">
        <v>105</v>
      </c>
      <c r="D9" s="103">
        <v>51</v>
      </c>
      <c r="E9" s="103">
        <v>534</v>
      </c>
      <c r="F9" s="103">
        <v>19</v>
      </c>
      <c r="G9" s="103">
        <v>0</v>
      </c>
      <c r="H9" s="103">
        <v>0</v>
      </c>
      <c r="I9" s="103">
        <v>460</v>
      </c>
      <c r="J9" s="103">
        <v>106</v>
      </c>
      <c r="K9" s="103">
        <v>165</v>
      </c>
      <c r="L9" s="103">
        <v>214</v>
      </c>
      <c r="M9" s="103">
        <v>94</v>
      </c>
      <c r="N9" s="103">
        <v>0</v>
      </c>
      <c r="O9" s="103">
        <v>342</v>
      </c>
      <c r="P9" s="103">
        <v>102</v>
      </c>
      <c r="Q9" s="103">
        <v>62</v>
      </c>
      <c r="R9" s="103">
        <v>445</v>
      </c>
      <c r="S9" s="103">
        <v>0</v>
      </c>
      <c r="T9" s="103">
        <v>0</v>
      </c>
      <c r="U9" s="103">
        <v>305</v>
      </c>
      <c r="V9" s="103">
        <v>165</v>
      </c>
      <c r="W9" s="103">
        <v>0</v>
      </c>
      <c r="X9" s="103">
        <v>226</v>
      </c>
      <c r="Y9" s="103">
        <v>307</v>
      </c>
      <c r="Z9" s="103">
        <v>0</v>
      </c>
      <c r="AA9" s="103">
        <v>0</v>
      </c>
      <c r="AB9" s="103">
        <v>346</v>
      </c>
      <c r="AC9" s="103">
        <v>157</v>
      </c>
      <c r="AD9" s="103">
        <v>521</v>
      </c>
      <c r="AE9" s="103">
        <v>211</v>
      </c>
      <c r="AF9" s="103">
        <v>153</v>
      </c>
      <c r="AG9" s="110">
        <f t="shared" si="0"/>
        <v>169.66666666666666</v>
      </c>
      <c r="AH9" s="111">
        <v>10000</v>
      </c>
      <c r="AI9" s="111">
        <f t="shared" si="1"/>
        <v>5090</v>
      </c>
      <c r="AJ9" s="112">
        <f t="shared" si="2"/>
        <v>0.50900000000000001</v>
      </c>
      <c r="AK9" s="113">
        <f t="shared" si="3"/>
        <v>4910</v>
      </c>
    </row>
    <row r="10" spans="1:37" ht="20">
      <c r="A10" s="200" t="s">
        <v>40</v>
      </c>
      <c r="B10" s="98" t="s">
        <v>68</v>
      </c>
      <c r="C10" s="103">
        <v>0</v>
      </c>
      <c r="D10" s="103">
        <v>38</v>
      </c>
      <c r="E10" s="103">
        <v>5</v>
      </c>
      <c r="F10" s="103">
        <v>24</v>
      </c>
      <c r="G10" s="103">
        <v>0</v>
      </c>
      <c r="H10" s="103">
        <v>0</v>
      </c>
      <c r="I10" s="103">
        <v>0</v>
      </c>
      <c r="J10" s="103">
        <v>484</v>
      </c>
      <c r="K10" s="103">
        <v>66</v>
      </c>
      <c r="L10" s="103">
        <v>14</v>
      </c>
      <c r="M10" s="103">
        <v>65</v>
      </c>
      <c r="N10" s="103">
        <v>330</v>
      </c>
      <c r="O10" s="103">
        <v>358</v>
      </c>
      <c r="P10" s="103">
        <v>152</v>
      </c>
      <c r="Q10" s="103">
        <v>0</v>
      </c>
      <c r="R10" s="103">
        <v>61</v>
      </c>
      <c r="S10" s="103">
        <v>0</v>
      </c>
      <c r="T10" s="103">
        <v>312</v>
      </c>
      <c r="U10" s="103">
        <v>61</v>
      </c>
      <c r="V10" s="103">
        <v>261</v>
      </c>
      <c r="W10" s="103">
        <v>267</v>
      </c>
      <c r="X10" s="103">
        <v>200</v>
      </c>
      <c r="Y10" s="103">
        <v>481</v>
      </c>
      <c r="Z10" s="103">
        <v>275</v>
      </c>
      <c r="AA10" s="103">
        <v>61</v>
      </c>
      <c r="AB10" s="103">
        <v>484</v>
      </c>
      <c r="AC10" s="103">
        <v>261</v>
      </c>
      <c r="AD10" s="103">
        <v>135</v>
      </c>
      <c r="AE10" s="103">
        <v>22</v>
      </c>
      <c r="AF10" s="103">
        <v>14</v>
      </c>
      <c r="AG10" s="110">
        <f t="shared" si="0"/>
        <v>147.69999999999999</v>
      </c>
      <c r="AH10" s="111">
        <v>10000</v>
      </c>
      <c r="AI10" s="111">
        <v>5057</v>
      </c>
      <c r="AJ10" s="112">
        <f t="shared" si="2"/>
        <v>0.50570000000000004</v>
      </c>
      <c r="AK10" s="201">
        <f>AH10-AI10</f>
        <v>4943</v>
      </c>
    </row>
    <row r="11" spans="1:37" ht="20">
      <c r="A11" s="200" t="s">
        <v>41</v>
      </c>
      <c r="B11" s="98" t="s">
        <v>42</v>
      </c>
      <c r="C11" s="103">
        <v>1</v>
      </c>
      <c r="D11" s="103">
        <v>0</v>
      </c>
      <c r="E11" s="103">
        <v>68</v>
      </c>
      <c r="F11" s="103">
        <v>124</v>
      </c>
      <c r="G11" s="103">
        <v>288</v>
      </c>
      <c r="H11" s="103">
        <v>95</v>
      </c>
      <c r="I11" s="103">
        <v>361</v>
      </c>
      <c r="J11" s="103">
        <v>385</v>
      </c>
      <c r="K11" s="103">
        <v>344</v>
      </c>
      <c r="L11" s="103">
        <v>7</v>
      </c>
      <c r="M11" s="103">
        <v>158</v>
      </c>
      <c r="N11" s="103">
        <v>51</v>
      </c>
      <c r="O11" s="103">
        <v>172</v>
      </c>
      <c r="P11" s="103">
        <v>1</v>
      </c>
      <c r="Q11" s="103">
        <v>0</v>
      </c>
      <c r="R11" s="103">
        <v>228</v>
      </c>
      <c r="S11" s="103">
        <v>8</v>
      </c>
      <c r="T11" s="103">
        <v>5</v>
      </c>
      <c r="U11" s="103">
        <v>232</v>
      </c>
      <c r="V11" s="103">
        <v>205</v>
      </c>
      <c r="W11" s="103">
        <v>248</v>
      </c>
      <c r="X11" s="103">
        <v>125</v>
      </c>
      <c r="Y11" s="103">
        <v>292</v>
      </c>
      <c r="Z11" s="103">
        <v>313</v>
      </c>
      <c r="AA11" s="103">
        <v>8</v>
      </c>
      <c r="AB11" s="103">
        <v>295</v>
      </c>
      <c r="AC11" s="103">
        <v>285</v>
      </c>
      <c r="AD11" s="103">
        <v>360</v>
      </c>
      <c r="AE11" s="103">
        <v>92</v>
      </c>
      <c r="AF11" s="103">
        <v>1</v>
      </c>
      <c r="AG11" s="110">
        <v>194</v>
      </c>
      <c r="AH11" s="111">
        <v>10000</v>
      </c>
      <c r="AI11" s="111">
        <v>5008</v>
      </c>
      <c r="AJ11" s="112">
        <v>0.43</v>
      </c>
      <c r="AK11" s="201">
        <v>3334</v>
      </c>
    </row>
    <row r="12" spans="1:37" ht="20">
      <c r="A12" s="99" t="s">
        <v>43</v>
      </c>
      <c r="B12" s="98" t="s">
        <v>44</v>
      </c>
      <c r="C12" s="103">
        <v>277</v>
      </c>
      <c r="D12" s="103">
        <v>1</v>
      </c>
      <c r="E12" s="103">
        <v>1</v>
      </c>
      <c r="F12" s="103">
        <v>1</v>
      </c>
      <c r="G12" s="103">
        <v>555</v>
      </c>
      <c r="H12" s="103">
        <v>147</v>
      </c>
      <c r="I12" s="103">
        <v>16</v>
      </c>
      <c r="J12" s="103">
        <v>9</v>
      </c>
      <c r="K12" s="103">
        <v>134</v>
      </c>
      <c r="L12" s="103">
        <v>245</v>
      </c>
      <c r="M12" s="103">
        <v>405</v>
      </c>
      <c r="N12" s="103">
        <v>98</v>
      </c>
      <c r="O12" s="103">
        <v>0</v>
      </c>
      <c r="P12" s="103">
        <v>33</v>
      </c>
      <c r="Q12" s="103">
        <v>31</v>
      </c>
      <c r="R12" s="103">
        <v>435</v>
      </c>
      <c r="S12" s="103">
        <v>318</v>
      </c>
      <c r="T12" s="103">
        <v>131</v>
      </c>
      <c r="U12" s="103">
        <v>14</v>
      </c>
      <c r="V12" s="103">
        <v>187</v>
      </c>
      <c r="W12" s="103">
        <v>320</v>
      </c>
      <c r="X12" s="103">
        <v>1</v>
      </c>
      <c r="Y12" s="103">
        <v>213</v>
      </c>
      <c r="Z12" s="103">
        <v>256</v>
      </c>
      <c r="AA12" s="103">
        <v>34</v>
      </c>
      <c r="AB12" s="103">
        <v>434</v>
      </c>
      <c r="AC12" s="103">
        <v>314</v>
      </c>
      <c r="AD12" s="103">
        <v>146</v>
      </c>
      <c r="AE12" s="103">
        <v>184</v>
      </c>
      <c r="AF12" s="103">
        <v>323</v>
      </c>
      <c r="AG12" s="110">
        <f t="shared" ref="AG12:AG23" si="4">AVERAGE(C12:AF12)</f>
        <v>175.43333333333334</v>
      </c>
      <c r="AH12" s="111">
        <v>10000</v>
      </c>
      <c r="AI12" s="111">
        <v>4987</v>
      </c>
      <c r="AJ12" s="112">
        <f t="shared" si="2"/>
        <v>0.49869999999999998</v>
      </c>
      <c r="AK12" s="113">
        <f t="shared" si="3"/>
        <v>5013</v>
      </c>
    </row>
    <row r="13" spans="1:37" ht="20">
      <c r="A13" s="99" t="s">
        <v>45</v>
      </c>
      <c r="B13" s="98" t="s">
        <v>46</v>
      </c>
      <c r="C13" s="103">
        <v>518</v>
      </c>
      <c r="D13" s="103">
        <v>492</v>
      </c>
      <c r="E13" s="103">
        <v>1</v>
      </c>
      <c r="F13" s="103">
        <v>1</v>
      </c>
      <c r="G13" s="103">
        <v>30</v>
      </c>
      <c r="H13" s="103">
        <v>355</v>
      </c>
      <c r="I13" s="103">
        <v>380</v>
      </c>
      <c r="J13" s="103">
        <v>0</v>
      </c>
      <c r="K13" s="103">
        <v>15</v>
      </c>
      <c r="L13" s="103">
        <v>116</v>
      </c>
      <c r="M13" s="103">
        <v>60</v>
      </c>
      <c r="N13" s="103">
        <v>345</v>
      </c>
      <c r="O13" s="103">
        <v>117</v>
      </c>
      <c r="P13" s="103">
        <v>98</v>
      </c>
      <c r="Q13" s="103">
        <v>218</v>
      </c>
      <c r="R13" s="103">
        <v>142</v>
      </c>
      <c r="S13" s="103">
        <v>212</v>
      </c>
      <c r="T13" s="103">
        <v>5</v>
      </c>
      <c r="U13" s="103">
        <v>347</v>
      </c>
      <c r="V13" s="103">
        <v>255</v>
      </c>
      <c r="W13" s="103">
        <v>72</v>
      </c>
      <c r="X13" s="103">
        <v>307</v>
      </c>
      <c r="Y13" s="103">
        <v>254</v>
      </c>
      <c r="Z13" s="103">
        <v>343</v>
      </c>
      <c r="AA13" s="103">
        <v>150</v>
      </c>
      <c r="AB13" s="103">
        <v>308</v>
      </c>
      <c r="AC13" s="103">
        <v>13</v>
      </c>
      <c r="AD13" s="103">
        <v>181</v>
      </c>
      <c r="AE13" s="103">
        <v>122</v>
      </c>
      <c r="AF13" s="103">
        <v>0</v>
      </c>
      <c r="AG13" s="110">
        <f t="shared" si="4"/>
        <v>181.9</v>
      </c>
      <c r="AH13" s="111">
        <v>10000</v>
      </c>
      <c r="AI13" s="111">
        <v>5218</v>
      </c>
      <c r="AJ13" s="112">
        <f t="shared" si="2"/>
        <v>0.52180000000000004</v>
      </c>
      <c r="AK13" s="113">
        <f t="shared" si="3"/>
        <v>4782</v>
      </c>
    </row>
    <row r="14" spans="1:37" ht="20">
      <c r="A14" s="99" t="s">
        <v>47</v>
      </c>
      <c r="B14" s="98" t="s">
        <v>48</v>
      </c>
      <c r="C14" s="103">
        <v>0</v>
      </c>
      <c r="D14" s="103">
        <v>256</v>
      </c>
      <c r="E14" s="103">
        <v>0</v>
      </c>
      <c r="F14" s="103">
        <v>0</v>
      </c>
      <c r="G14" s="103">
        <v>28</v>
      </c>
      <c r="H14" s="103">
        <v>314</v>
      </c>
      <c r="I14" s="103">
        <v>427</v>
      </c>
      <c r="J14" s="103">
        <v>0</v>
      </c>
      <c r="K14" s="103">
        <v>119</v>
      </c>
      <c r="L14" s="103">
        <v>22</v>
      </c>
      <c r="M14" s="103">
        <v>222</v>
      </c>
      <c r="N14" s="103">
        <v>313</v>
      </c>
      <c r="O14" s="103">
        <v>0</v>
      </c>
      <c r="P14" s="103">
        <v>105</v>
      </c>
      <c r="Q14" s="103">
        <v>223</v>
      </c>
      <c r="R14" s="103">
        <v>144</v>
      </c>
      <c r="S14" s="103">
        <v>207</v>
      </c>
      <c r="T14" s="103">
        <v>1</v>
      </c>
      <c r="U14" s="103">
        <v>358</v>
      </c>
      <c r="V14" s="103">
        <v>250</v>
      </c>
      <c r="W14" s="103">
        <v>70</v>
      </c>
      <c r="X14" s="103">
        <v>312</v>
      </c>
      <c r="Y14" s="103">
        <v>343</v>
      </c>
      <c r="Z14" s="103">
        <v>252</v>
      </c>
      <c r="AA14" s="103">
        <v>145</v>
      </c>
      <c r="AB14" s="103">
        <v>312</v>
      </c>
      <c r="AC14" s="103">
        <v>137</v>
      </c>
      <c r="AD14" s="103">
        <v>273</v>
      </c>
      <c r="AE14" s="103">
        <v>266</v>
      </c>
      <c r="AF14" s="103">
        <v>0</v>
      </c>
      <c r="AG14" s="110">
        <f t="shared" si="4"/>
        <v>169.96666666666667</v>
      </c>
      <c r="AH14" s="111">
        <v>10000</v>
      </c>
      <c r="AI14" s="111">
        <v>5616</v>
      </c>
      <c r="AJ14" s="112">
        <f t="shared" si="2"/>
        <v>0.56159999999999999</v>
      </c>
      <c r="AK14" s="113">
        <f t="shared" si="3"/>
        <v>4384</v>
      </c>
    </row>
    <row r="15" spans="1:37" ht="20">
      <c r="A15" s="99" t="s">
        <v>49</v>
      </c>
      <c r="B15" s="98" t="s">
        <v>50</v>
      </c>
      <c r="C15" s="103">
        <v>174</v>
      </c>
      <c r="D15" s="103">
        <v>233</v>
      </c>
      <c r="E15" s="103">
        <v>129</v>
      </c>
      <c r="F15" s="103">
        <v>0</v>
      </c>
      <c r="G15" s="103">
        <v>79</v>
      </c>
      <c r="H15" s="103">
        <v>68</v>
      </c>
      <c r="I15" s="103">
        <v>3</v>
      </c>
      <c r="J15" s="103">
        <v>19</v>
      </c>
      <c r="K15" s="103">
        <v>1</v>
      </c>
      <c r="L15" s="103">
        <v>118</v>
      </c>
      <c r="M15" s="103">
        <v>491</v>
      </c>
      <c r="N15" s="103">
        <v>285</v>
      </c>
      <c r="O15" s="103">
        <v>1</v>
      </c>
      <c r="P15" s="103">
        <v>64</v>
      </c>
      <c r="Q15" s="103">
        <v>374</v>
      </c>
      <c r="R15" s="103">
        <v>390</v>
      </c>
      <c r="S15" s="103">
        <v>80</v>
      </c>
      <c r="T15" s="103">
        <v>58</v>
      </c>
      <c r="U15" s="103">
        <v>170</v>
      </c>
      <c r="V15" s="103">
        <v>403</v>
      </c>
      <c r="W15" s="103">
        <v>373</v>
      </c>
      <c r="X15" s="103">
        <v>1</v>
      </c>
      <c r="Y15" s="103">
        <v>61</v>
      </c>
      <c r="Z15" s="103">
        <v>315</v>
      </c>
      <c r="AA15" s="103">
        <v>451</v>
      </c>
      <c r="AB15" s="103">
        <v>132</v>
      </c>
      <c r="AC15" s="103">
        <v>16</v>
      </c>
      <c r="AD15" s="103">
        <v>368</v>
      </c>
      <c r="AE15" s="103">
        <v>95</v>
      </c>
      <c r="AF15" s="103">
        <v>0</v>
      </c>
      <c r="AG15" s="110">
        <f t="shared" si="4"/>
        <v>165.06666666666666</v>
      </c>
      <c r="AH15" s="111">
        <v>10000</v>
      </c>
      <c r="AI15" s="111">
        <v>4668</v>
      </c>
      <c r="AJ15" s="112">
        <f t="shared" si="2"/>
        <v>0.46679999999999999</v>
      </c>
      <c r="AK15" s="113">
        <f t="shared" si="3"/>
        <v>5332</v>
      </c>
    </row>
    <row r="16" spans="1:37" ht="20">
      <c r="A16" s="99" t="s">
        <v>51</v>
      </c>
      <c r="B16" s="98" t="s">
        <v>52</v>
      </c>
      <c r="C16" s="103">
        <v>2</v>
      </c>
      <c r="D16" s="103">
        <v>146</v>
      </c>
      <c r="E16" s="103">
        <v>129</v>
      </c>
      <c r="F16" s="103">
        <v>446</v>
      </c>
      <c r="G16" s="103">
        <v>20</v>
      </c>
      <c r="H16" s="103">
        <v>5</v>
      </c>
      <c r="I16" s="103">
        <v>192</v>
      </c>
      <c r="J16" s="103">
        <v>357</v>
      </c>
      <c r="K16" s="103">
        <v>13</v>
      </c>
      <c r="L16" s="103">
        <v>2</v>
      </c>
      <c r="M16" s="103">
        <v>11</v>
      </c>
      <c r="N16" s="103">
        <v>202</v>
      </c>
      <c r="O16" s="103">
        <v>243</v>
      </c>
      <c r="P16" s="103">
        <v>222</v>
      </c>
      <c r="Q16" s="103">
        <v>202</v>
      </c>
      <c r="R16" s="103">
        <v>91</v>
      </c>
      <c r="S16" s="103">
        <v>258</v>
      </c>
      <c r="T16" s="103">
        <v>382</v>
      </c>
      <c r="U16" s="103">
        <v>143</v>
      </c>
      <c r="V16" s="103">
        <v>57</v>
      </c>
      <c r="W16" s="103">
        <v>0</v>
      </c>
      <c r="X16" s="103">
        <v>0</v>
      </c>
      <c r="Y16" s="103">
        <v>0</v>
      </c>
      <c r="Z16" s="103">
        <v>0</v>
      </c>
      <c r="AA16" s="103">
        <v>32</v>
      </c>
      <c r="AB16" s="103">
        <v>178</v>
      </c>
      <c r="AC16" s="103">
        <v>288</v>
      </c>
      <c r="AD16" s="103">
        <v>89</v>
      </c>
      <c r="AE16" s="103">
        <v>175</v>
      </c>
      <c r="AF16" s="103">
        <v>56</v>
      </c>
      <c r="AG16" s="110">
        <f t="shared" si="4"/>
        <v>131.36666666666667</v>
      </c>
      <c r="AH16" s="111">
        <v>10000</v>
      </c>
      <c r="AI16" s="111">
        <v>4942</v>
      </c>
      <c r="AJ16" s="112">
        <f t="shared" si="2"/>
        <v>0.49419999999999997</v>
      </c>
      <c r="AK16" s="113">
        <f t="shared" si="3"/>
        <v>5058</v>
      </c>
    </row>
    <row r="17" spans="1:37" ht="20">
      <c r="A17" s="109" t="s">
        <v>53</v>
      </c>
      <c r="B17" s="98" t="s">
        <v>54</v>
      </c>
      <c r="C17" s="103">
        <v>10</v>
      </c>
      <c r="D17" s="103">
        <v>3</v>
      </c>
      <c r="E17" s="103">
        <v>1</v>
      </c>
      <c r="F17" s="103">
        <v>1</v>
      </c>
      <c r="G17" s="103">
        <v>550</v>
      </c>
      <c r="H17" s="103">
        <v>153</v>
      </c>
      <c r="I17" s="103">
        <v>15</v>
      </c>
      <c r="J17" s="103">
        <v>9</v>
      </c>
      <c r="K17" s="103">
        <v>142</v>
      </c>
      <c r="L17" s="103">
        <v>237</v>
      </c>
      <c r="M17" s="103">
        <v>406</v>
      </c>
      <c r="N17" s="103">
        <v>99</v>
      </c>
      <c r="O17" s="103">
        <v>0</v>
      </c>
      <c r="P17" s="103">
        <v>154</v>
      </c>
      <c r="Q17" s="103">
        <v>338</v>
      </c>
      <c r="R17" s="103">
        <v>307</v>
      </c>
      <c r="S17" s="103">
        <v>137</v>
      </c>
      <c r="T17" s="103">
        <v>20</v>
      </c>
      <c r="U17" s="103">
        <v>200</v>
      </c>
      <c r="V17" s="103">
        <v>426</v>
      </c>
      <c r="W17" s="103">
        <v>312</v>
      </c>
      <c r="X17" s="103">
        <v>1</v>
      </c>
      <c r="Y17" s="103">
        <v>62</v>
      </c>
      <c r="Z17" s="103">
        <v>313</v>
      </c>
      <c r="AA17" s="103">
        <v>429</v>
      </c>
      <c r="AB17" s="103">
        <v>0</v>
      </c>
      <c r="AC17" s="103">
        <v>154</v>
      </c>
      <c r="AD17" s="103">
        <v>197</v>
      </c>
      <c r="AE17" s="103">
        <v>225</v>
      </c>
      <c r="AF17" s="103">
        <v>62</v>
      </c>
      <c r="AG17" s="110">
        <f t="shared" si="4"/>
        <v>165.43333333333334</v>
      </c>
      <c r="AH17" s="111">
        <v>10000</v>
      </c>
      <c r="AI17" s="111">
        <v>4895</v>
      </c>
      <c r="AJ17" s="112">
        <f t="shared" si="2"/>
        <v>0.48949999999999999</v>
      </c>
      <c r="AK17" s="113">
        <f t="shared" si="3"/>
        <v>5105</v>
      </c>
    </row>
    <row r="18" spans="1:37" ht="20">
      <c r="A18" s="99" t="s">
        <v>55</v>
      </c>
      <c r="B18" s="98" t="s">
        <v>68</v>
      </c>
      <c r="C18" s="103">
        <v>115</v>
      </c>
      <c r="D18" s="103">
        <v>194</v>
      </c>
      <c r="E18" s="103">
        <v>316</v>
      </c>
      <c r="F18" s="103">
        <v>392</v>
      </c>
      <c r="G18" s="103">
        <v>0</v>
      </c>
      <c r="H18" s="103">
        <v>28</v>
      </c>
      <c r="I18" s="103">
        <v>1</v>
      </c>
      <c r="J18" s="103">
        <v>312</v>
      </c>
      <c r="K18" s="103">
        <v>379</v>
      </c>
      <c r="L18" s="103">
        <v>1</v>
      </c>
      <c r="M18" s="103">
        <v>183</v>
      </c>
      <c r="N18" s="103">
        <v>37</v>
      </c>
      <c r="O18" s="103">
        <v>274</v>
      </c>
      <c r="P18" s="103">
        <v>208</v>
      </c>
      <c r="Q18" s="103">
        <v>38</v>
      </c>
      <c r="R18" s="103">
        <v>245</v>
      </c>
      <c r="S18" s="103">
        <v>177</v>
      </c>
      <c r="T18" s="103">
        <v>117</v>
      </c>
      <c r="U18" s="103">
        <v>123</v>
      </c>
      <c r="V18" s="103">
        <v>257</v>
      </c>
      <c r="W18" s="103">
        <v>432</v>
      </c>
      <c r="X18" s="103">
        <v>3</v>
      </c>
      <c r="Y18" s="103">
        <v>259</v>
      </c>
      <c r="Z18" s="103">
        <v>198</v>
      </c>
      <c r="AA18" s="103">
        <v>227</v>
      </c>
      <c r="AB18" s="103">
        <v>348</v>
      </c>
      <c r="AC18" s="103">
        <v>74</v>
      </c>
      <c r="AD18" s="103">
        <v>154</v>
      </c>
      <c r="AE18" s="103">
        <v>422</v>
      </c>
      <c r="AF18" s="103">
        <v>153</v>
      </c>
      <c r="AG18" s="110">
        <f t="shared" si="4"/>
        <v>188.9</v>
      </c>
      <c r="AH18" s="111">
        <v>10000</v>
      </c>
      <c r="AI18" s="111">
        <v>4841</v>
      </c>
      <c r="AJ18" s="112">
        <f t="shared" si="2"/>
        <v>0.48409999999999997</v>
      </c>
      <c r="AK18" s="113">
        <f t="shared" si="3"/>
        <v>5159</v>
      </c>
    </row>
    <row r="19" spans="1:37" ht="20">
      <c r="A19" s="115" t="s">
        <v>58</v>
      </c>
      <c r="B19" s="98" t="s">
        <v>59</v>
      </c>
      <c r="C19" s="103">
        <v>1</v>
      </c>
      <c r="D19" s="103">
        <v>89</v>
      </c>
      <c r="E19" s="103">
        <v>138</v>
      </c>
      <c r="F19" s="103">
        <v>435</v>
      </c>
      <c r="G19" s="103">
        <v>21</v>
      </c>
      <c r="H19" s="103">
        <v>4</v>
      </c>
      <c r="I19" s="103">
        <v>193</v>
      </c>
      <c r="J19" s="103">
        <v>355</v>
      </c>
      <c r="K19" s="103">
        <v>14</v>
      </c>
      <c r="L19" s="103">
        <v>1</v>
      </c>
      <c r="M19" s="103">
        <v>52</v>
      </c>
      <c r="N19" s="103">
        <v>317</v>
      </c>
      <c r="O19" s="103">
        <v>463</v>
      </c>
      <c r="P19" s="103">
        <v>61</v>
      </c>
      <c r="Q19" s="103">
        <v>60</v>
      </c>
      <c r="R19" s="103">
        <v>313</v>
      </c>
      <c r="S19" s="103">
        <v>426</v>
      </c>
      <c r="T19" s="103">
        <v>104</v>
      </c>
      <c r="U19" s="103">
        <v>57</v>
      </c>
      <c r="V19" s="103">
        <v>8</v>
      </c>
      <c r="W19" s="103">
        <v>197</v>
      </c>
      <c r="X19" s="103">
        <v>230</v>
      </c>
      <c r="Y19" s="103">
        <v>462</v>
      </c>
      <c r="Z19" s="103">
        <v>87</v>
      </c>
      <c r="AA19" s="103">
        <v>33</v>
      </c>
      <c r="AB19" s="103">
        <v>488</v>
      </c>
      <c r="AC19" s="103">
        <v>347</v>
      </c>
      <c r="AD19" s="103">
        <v>57</v>
      </c>
      <c r="AE19" s="103">
        <v>194</v>
      </c>
      <c r="AF19" s="103">
        <v>330</v>
      </c>
      <c r="AG19" s="110">
        <f t="shared" si="4"/>
        <v>184.56666666666666</v>
      </c>
      <c r="AH19" s="111">
        <v>10000</v>
      </c>
      <c r="AI19" s="111">
        <v>5651</v>
      </c>
      <c r="AJ19" s="112">
        <f t="shared" si="2"/>
        <v>0.56510000000000005</v>
      </c>
      <c r="AK19" s="113">
        <f t="shared" si="3"/>
        <v>4349</v>
      </c>
    </row>
    <row r="20" spans="1:37" ht="20">
      <c r="A20" s="99" t="s">
        <v>60</v>
      </c>
      <c r="B20" s="98" t="s">
        <v>61</v>
      </c>
      <c r="C20" s="103">
        <v>95</v>
      </c>
      <c r="D20" s="103">
        <v>159</v>
      </c>
      <c r="E20" s="103">
        <v>94</v>
      </c>
      <c r="F20" s="103">
        <v>0</v>
      </c>
      <c r="G20" s="103">
        <v>221</v>
      </c>
      <c r="H20" s="103">
        <v>32</v>
      </c>
      <c r="I20" s="103">
        <v>80</v>
      </c>
      <c r="J20" s="103">
        <v>309</v>
      </c>
      <c r="K20" s="103">
        <v>246</v>
      </c>
      <c r="L20" s="103">
        <v>65</v>
      </c>
      <c r="M20" s="103">
        <v>0</v>
      </c>
      <c r="N20" s="103">
        <v>195</v>
      </c>
      <c r="O20" s="103">
        <v>27</v>
      </c>
      <c r="P20" s="103">
        <v>34</v>
      </c>
      <c r="Q20" s="103">
        <v>308</v>
      </c>
      <c r="R20" s="103">
        <v>287</v>
      </c>
      <c r="S20" s="103">
        <v>307</v>
      </c>
      <c r="T20" s="103">
        <v>17</v>
      </c>
      <c r="U20" s="103">
        <v>15</v>
      </c>
      <c r="V20" s="103">
        <v>382</v>
      </c>
      <c r="W20" s="103">
        <v>274</v>
      </c>
      <c r="X20" s="103">
        <v>236</v>
      </c>
      <c r="Y20" s="103">
        <v>62</v>
      </c>
      <c r="Z20" s="103">
        <v>237</v>
      </c>
      <c r="AA20" s="103">
        <v>62</v>
      </c>
      <c r="AB20" s="103">
        <v>174</v>
      </c>
      <c r="AC20" s="103">
        <v>414</v>
      </c>
      <c r="AD20" s="103">
        <v>14</v>
      </c>
      <c r="AE20" s="103">
        <v>53</v>
      </c>
      <c r="AF20" s="103">
        <v>423</v>
      </c>
      <c r="AG20" s="110">
        <f t="shared" si="4"/>
        <v>160.73333333333332</v>
      </c>
      <c r="AH20" s="111">
        <v>10000</v>
      </c>
      <c r="AI20" s="111">
        <f t="shared" si="1"/>
        <v>4822</v>
      </c>
      <c r="AJ20" s="112">
        <f t="shared" si="2"/>
        <v>0.48220000000000002</v>
      </c>
      <c r="AK20" s="113">
        <f t="shared" si="3"/>
        <v>5178</v>
      </c>
    </row>
    <row r="21" spans="1:37" ht="20">
      <c r="A21" s="99" t="s">
        <v>62</v>
      </c>
      <c r="B21" s="98" t="s">
        <v>63</v>
      </c>
      <c r="C21" s="103">
        <v>96</v>
      </c>
      <c r="D21" s="103">
        <v>459</v>
      </c>
      <c r="E21" s="103">
        <v>2</v>
      </c>
      <c r="F21" s="103">
        <v>2</v>
      </c>
      <c r="G21" s="103">
        <v>1</v>
      </c>
      <c r="H21" s="103">
        <v>3</v>
      </c>
      <c r="I21" s="103">
        <v>452</v>
      </c>
      <c r="J21" s="103">
        <v>107</v>
      </c>
      <c r="K21" s="103">
        <v>142</v>
      </c>
      <c r="L21" s="103">
        <v>544</v>
      </c>
      <c r="M21" s="103">
        <v>210</v>
      </c>
      <c r="N21" s="103">
        <v>0</v>
      </c>
      <c r="O21" s="103">
        <v>0</v>
      </c>
      <c r="P21" s="103">
        <v>33</v>
      </c>
      <c r="Q21" s="103">
        <v>322</v>
      </c>
      <c r="R21" s="103">
        <v>340</v>
      </c>
      <c r="S21" s="103">
        <v>252</v>
      </c>
      <c r="T21" s="103">
        <v>16</v>
      </c>
      <c r="U21" s="103">
        <v>424</v>
      </c>
      <c r="V21" s="103">
        <v>542</v>
      </c>
      <c r="W21" s="103">
        <v>0</v>
      </c>
      <c r="X21" s="103">
        <v>0</v>
      </c>
      <c r="Y21" s="103">
        <v>9</v>
      </c>
      <c r="Z21" s="103">
        <v>338</v>
      </c>
      <c r="AA21" s="103">
        <v>324</v>
      </c>
      <c r="AB21" s="103">
        <v>261</v>
      </c>
      <c r="AC21" s="103">
        <v>94</v>
      </c>
      <c r="AD21" s="103">
        <v>377</v>
      </c>
      <c r="AE21" s="103">
        <v>1</v>
      </c>
      <c r="AF21" s="103">
        <v>2</v>
      </c>
      <c r="AG21" s="110">
        <f t="shared" si="4"/>
        <v>178.43333333333334</v>
      </c>
      <c r="AH21" s="111">
        <v>10000</v>
      </c>
      <c r="AI21" s="111">
        <f t="shared" si="1"/>
        <v>5353</v>
      </c>
      <c r="AJ21" s="112">
        <f t="shared" si="2"/>
        <v>0.5353</v>
      </c>
      <c r="AK21" s="113">
        <f t="shared" si="3"/>
        <v>4647</v>
      </c>
    </row>
    <row r="22" spans="1:37" ht="20">
      <c r="A22" s="99" t="s">
        <v>64</v>
      </c>
      <c r="B22" s="98" t="s">
        <v>65</v>
      </c>
      <c r="C22" s="103">
        <v>209</v>
      </c>
      <c r="D22" s="103">
        <v>460</v>
      </c>
      <c r="E22" s="103">
        <v>1</v>
      </c>
      <c r="F22" s="103">
        <v>2</v>
      </c>
      <c r="G22" s="103">
        <v>1</v>
      </c>
      <c r="H22" s="103">
        <v>4</v>
      </c>
      <c r="I22" s="103">
        <v>452</v>
      </c>
      <c r="J22" s="103">
        <v>107</v>
      </c>
      <c r="K22" s="103">
        <v>144</v>
      </c>
      <c r="L22" s="103">
        <v>546</v>
      </c>
      <c r="M22" s="103">
        <v>209</v>
      </c>
      <c r="N22" s="103">
        <v>1</v>
      </c>
      <c r="O22" s="103">
        <v>1</v>
      </c>
      <c r="P22" s="103">
        <v>35</v>
      </c>
      <c r="Q22" s="103">
        <v>291</v>
      </c>
      <c r="R22" s="103">
        <v>371</v>
      </c>
      <c r="S22" s="103">
        <v>248</v>
      </c>
      <c r="T22" s="103">
        <v>18</v>
      </c>
      <c r="U22" s="103">
        <v>427</v>
      </c>
      <c r="V22" s="103">
        <v>548</v>
      </c>
      <c r="W22" s="103">
        <v>0</v>
      </c>
      <c r="X22" s="103">
        <v>0</v>
      </c>
      <c r="Y22" s="103">
        <v>6</v>
      </c>
      <c r="Z22" s="103">
        <v>338</v>
      </c>
      <c r="AA22" s="103">
        <v>322</v>
      </c>
      <c r="AB22" s="103">
        <v>261</v>
      </c>
      <c r="AC22" s="103">
        <v>112</v>
      </c>
      <c r="AD22" s="103">
        <v>407</v>
      </c>
      <c r="AE22" s="103">
        <v>8</v>
      </c>
      <c r="AF22" s="103">
        <v>0</v>
      </c>
      <c r="AG22" s="110">
        <f t="shared" si="4"/>
        <v>184.3</v>
      </c>
      <c r="AH22" s="111">
        <v>10000</v>
      </c>
      <c r="AI22" s="111">
        <f t="shared" si="1"/>
        <v>5529</v>
      </c>
      <c r="AJ22" s="112">
        <f t="shared" si="2"/>
        <v>0.55289999999999995</v>
      </c>
      <c r="AK22" s="113">
        <f t="shared" si="3"/>
        <v>4471</v>
      </c>
    </row>
    <row r="23" spans="1:37" ht="20">
      <c r="A23" s="229" t="s">
        <v>56</v>
      </c>
      <c r="B23" s="230" t="s">
        <v>57</v>
      </c>
      <c r="C23" s="231"/>
      <c r="D23" s="231"/>
      <c r="E23" s="232"/>
      <c r="F23" s="232"/>
      <c r="G23" s="232"/>
      <c r="H23" s="231"/>
      <c r="I23" s="231"/>
      <c r="J23" s="231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3" t="e">
        <f t="shared" si="4"/>
        <v>#DIV/0!</v>
      </c>
      <c r="AH23" s="111">
        <v>10000</v>
      </c>
      <c r="AI23" s="111">
        <f t="shared" si="1"/>
        <v>0</v>
      </c>
      <c r="AJ23" s="234">
        <f>AI23/AH23</f>
        <v>0</v>
      </c>
      <c r="AK23" s="235">
        <f>AH23-AI23</f>
        <v>10000</v>
      </c>
    </row>
    <row r="24" spans="1:37" s="246" customFormat="1" ht="20">
      <c r="A24" s="239"/>
      <c r="B24" s="240"/>
      <c r="C24" s="241"/>
      <c r="D24" s="241"/>
      <c r="E24" s="242"/>
      <c r="F24" s="242"/>
      <c r="G24" s="242"/>
      <c r="H24" s="241"/>
      <c r="I24" s="241"/>
      <c r="J24" s="241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1"/>
      <c r="AH24" s="243"/>
      <c r="AI24" s="243"/>
      <c r="AJ24" s="244"/>
      <c r="AK24" s="245"/>
    </row>
    <row r="25" spans="1:37" s="116" customFormat="1" ht="28.5" customHeight="1">
      <c r="B25" s="236" t="s">
        <v>70</v>
      </c>
      <c r="C25" s="158">
        <f t="shared" ref="C25:Q25" si="5">SUM(C6:C22)</f>
        <v>1608</v>
      </c>
      <c r="D25" s="158">
        <f t="shared" si="5"/>
        <v>2616</v>
      </c>
      <c r="E25" s="158">
        <f t="shared" si="5"/>
        <v>1829</v>
      </c>
      <c r="F25" s="158">
        <f t="shared" si="5"/>
        <v>1745</v>
      </c>
      <c r="G25" s="158">
        <f t="shared" si="5"/>
        <v>2103</v>
      </c>
      <c r="H25" s="158">
        <f t="shared" si="5"/>
        <v>1456</v>
      </c>
      <c r="I25" s="158">
        <f t="shared" si="5"/>
        <v>3541</v>
      </c>
      <c r="J25" s="158">
        <f t="shared" si="5"/>
        <v>3109</v>
      </c>
      <c r="K25" s="158">
        <f t="shared" si="5"/>
        <v>2620</v>
      </c>
      <c r="L25" s="158">
        <f t="shared" si="5"/>
        <v>2614</v>
      </c>
      <c r="M25" s="158">
        <f t="shared" si="5"/>
        <v>2789</v>
      </c>
      <c r="N25" s="158">
        <f t="shared" si="5"/>
        <v>2373</v>
      </c>
      <c r="O25" s="158">
        <f t="shared" si="5"/>
        <v>2372</v>
      </c>
      <c r="P25" s="158">
        <f t="shared" si="5"/>
        <v>1303</v>
      </c>
      <c r="Q25" s="158">
        <f t="shared" si="5"/>
        <v>3205</v>
      </c>
      <c r="R25" s="158">
        <f>SUM(Q6:Q22)</f>
        <v>3205</v>
      </c>
      <c r="S25" s="158">
        <f>SUM(R6:R22)</f>
        <v>4310</v>
      </c>
      <c r="T25" s="158">
        <f t="shared" ref="T25:AF25" si="6">SUM(T6:T22)</f>
        <v>1666</v>
      </c>
      <c r="U25" s="158">
        <f t="shared" si="6"/>
        <v>3517</v>
      </c>
      <c r="V25" s="158">
        <f t="shared" si="6"/>
        <v>4705</v>
      </c>
      <c r="W25" s="158">
        <f t="shared" si="6"/>
        <v>2792</v>
      </c>
      <c r="X25" s="158">
        <f t="shared" si="6"/>
        <v>2011</v>
      </c>
      <c r="Y25" s="158">
        <f>SUM(Y6:Y21)</f>
        <v>3032</v>
      </c>
      <c r="Z25" s="158">
        <f t="shared" si="6"/>
        <v>3557</v>
      </c>
      <c r="AA25" s="158">
        <f t="shared" si="6"/>
        <v>2554</v>
      </c>
      <c r="AB25" s="158">
        <f t="shared" si="6"/>
        <v>4021</v>
      </c>
      <c r="AC25" s="158">
        <f t="shared" si="6"/>
        <v>2879</v>
      </c>
      <c r="AD25" s="158">
        <f t="shared" si="6"/>
        <v>3548</v>
      </c>
      <c r="AE25" s="158">
        <f t="shared" si="6"/>
        <v>2254</v>
      </c>
      <c r="AF25" s="158">
        <f t="shared" si="6"/>
        <v>1920</v>
      </c>
      <c r="AG25" s="126"/>
      <c r="AH25" s="237">
        <f>SUM(AH6:AH22)</f>
        <v>170000</v>
      </c>
      <c r="AI25" s="237">
        <f>SUM(AI6:AI22)</f>
        <v>82171</v>
      </c>
      <c r="AJ25" s="238">
        <f>AI25/AH25</f>
        <v>0.48335882352941179</v>
      </c>
      <c r="AK25" s="126"/>
    </row>
    <row r="26" spans="1:37" s="116" customFormat="1" ht="28.5" customHeight="1">
      <c r="B26" s="124" t="s">
        <v>83</v>
      </c>
      <c r="C26" s="117">
        <v>3150</v>
      </c>
      <c r="D26" s="117">
        <v>3150</v>
      </c>
      <c r="E26" s="117">
        <v>3150</v>
      </c>
      <c r="F26" s="117">
        <v>3150</v>
      </c>
      <c r="G26" s="117">
        <v>3150</v>
      </c>
      <c r="H26" s="117">
        <v>3150</v>
      </c>
      <c r="I26" s="117">
        <v>3150</v>
      </c>
      <c r="J26" s="117">
        <v>3150</v>
      </c>
      <c r="K26" s="117">
        <v>3150</v>
      </c>
      <c r="L26" s="117">
        <v>3150</v>
      </c>
      <c r="M26" s="117">
        <v>3150</v>
      </c>
      <c r="N26" s="117">
        <v>3150</v>
      </c>
      <c r="O26" s="117">
        <v>3150</v>
      </c>
      <c r="P26" s="117">
        <v>3150</v>
      </c>
      <c r="Q26" s="117">
        <v>3150</v>
      </c>
      <c r="R26" s="117">
        <v>3150</v>
      </c>
      <c r="S26" s="117">
        <v>3150</v>
      </c>
      <c r="T26" s="117">
        <v>3150</v>
      </c>
      <c r="U26" s="117">
        <v>3150</v>
      </c>
      <c r="V26" s="117">
        <v>3150</v>
      </c>
      <c r="W26" s="117">
        <v>3150</v>
      </c>
      <c r="X26" s="117">
        <v>3150</v>
      </c>
      <c r="Y26" s="117">
        <v>3150</v>
      </c>
      <c r="Z26" s="117">
        <v>3150</v>
      </c>
      <c r="AA26" s="117">
        <v>3150</v>
      </c>
      <c r="AB26" s="117">
        <v>3150</v>
      </c>
      <c r="AC26" s="117">
        <v>3150</v>
      </c>
      <c r="AD26" s="117">
        <v>3150</v>
      </c>
      <c r="AE26" s="117">
        <v>3150</v>
      </c>
      <c r="AF26" s="117">
        <v>3150</v>
      </c>
      <c r="AG26" s="119"/>
      <c r="AH26" s="227">
        <f>AVERAGE(AH6:AH22)</f>
        <v>10000</v>
      </c>
      <c r="AI26" s="227">
        <f>AVERAGE(AI6:AI22)</f>
        <v>4833.588235294118</v>
      </c>
    </row>
    <row r="27" spans="1:37" s="116" customFormat="1" ht="15">
      <c r="B27" s="124" t="s">
        <v>72</v>
      </c>
      <c r="C27" s="123">
        <f>C28/C29</f>
        <v>0.21019607843137256</v>
      </c>
      <c r="D27" s="123">
        <f t="shared" ref="D27:AF27" si="7">D28/D29</f>
        <v>0.34196078431372545</v>
      </c>
      <c r="E27" s="123">
        <f t="shared" si="7"/>
        <v>0.23908496732026144</v>
      </c>
      <c r="F27" s="123">
        <f t="shared" si="7"/>
        <v>0.22810457516339869</v>
      </c>
      <c r="G27" s="123">
        <f>G28/G29</f>
        <v>0.27490196078431373</v>
      </c>
      <c r="H27" s="123">
        <f t="shared" si="7"/>
        <v>0.19032679738562089</v>
      </c>
      <c r="I27" s="123">
        <f t="shared" si="7"/>
        <v>0.46287581699346403</v>
      </c>
      <c r="J27" s="123">
        <f t="shared" si="7"/>
        <v>0.40640522875816992</v>
      </c>
      <c r="K27" s="123">
        <f t="shared" si="7"/>
        <v>0.34248366013071896</v>
      </c>
      <c r="L27" s="123">
        <f t="shared" si="7"/>
        <v>0.34169934640522875</v>
      </c>
      <c r="M27" s="123">
        <f t="shared" si="7"/>
        <v>0.36457516339869284</v>
      </c>
      <c r="N27" s="123">
        <f t="shared" si="7"/>
        <v>0.31019607843137254</v>
      </c>
      <c r="O27" s="123">
        <f t="shared" si="7"/>
        <v>0.31006535947712421</v>
      </c>
      <c r="P27" s="123">
        <f t="shared" si="7"/>
        <v>0.1703267973856209</v>
      </c>
      <c r="Q27" s="123">
        <f t="shared" si="7"/>
        <v>0.41895424836601308</v>
      </c>
      <c r="R27" s="123">
        <f t="shared" si="7"/>
        <v>0.41895424836601308</v>
      </c>
      <c r="S27" s="123">
        <f t="shared" si="7"/>
        <v>0.56339869281045751</v>
      </c>
      <c r="T27" s="123">
        <f t="shared" si="7"/>
        <v>0.21777777777777776</v>
      </c>
      <c r="U27" s="123">
        <f t="shared" si="7"/>
        <v>0.45973856209150327</v>
      </c>
      <c r="V27" s="123">
        <f t="shared" si="7"/>
        <v>0.61503267973856202</v>
      </c>
      <c r="W27" s="123">
        <f t="shared" si="7"/>
        <v>0.36496732026143791</v>
      </c>
      <c r="X27" s="123">
        <f t="shared" si="7"/>
        <v>0.26287581699346407</v>
      </c>
      <c r="Y27" s="123">
        <f t="shared" si="7"/>
        <v>0.4211111111111111</v>
      </c>
      <c r="Z27" s="123">
        <f t="shared" si="7"/>
        <v>0.46496732026143794</v>
      </c>
      <c r="AA27" s="123">
        <f t="shared" si="7"/>
        <v>0.33385620915032682</v>
      </c>
      <c r="AB27" s="123">
        <f t="shared" si="7"/>
        <v>0.52562091503267971</v>
      </c>
      <c r="AC27" s="123">
        <f t="shared" si="7"/>
        <v>0.37633986928104574</v>
      </c>
      <c r="AD27" s="123">
        <f t="shared" si="7"/>
        <v>0.46379084967320267</v>
      </c>
      <c r="AE27" s="123">
        <f t="shared" si="7"/>
        <v>0.29464052287581699</v>
      </c>
      <c r="AF27" s="123">
        <f t="shared" si="7"/>
        <v>0.25098039215686274</v>
      </c>
      <c r="AG27" s="119"/>
    </row>
    <row r="28" spans="1:37" s="116" customFormat="1" ht="15">
      <c r="B28" s="124" t="s">
        <v>75</v>
      </c>
      <c r="C28" s="118">
        <f>AVERAGE(C6:C22)</f>
        <v>94.588235294117652</v>
      </c>
      <c r="D28" s="118">
        <f t="shared" ref="D28:AF28" si="8">AVERAGE(D6:D22)</f>
        <v>153.88235294117646</v>
      </c>
      <c r="E28" s="118">
        <f t="shared" si="8"/>
        <v>107.58823529411765</v>
      </c>
      <c r="F28" s="118">
        <f t="shared" si="8"/>
        <v>102.64705882352941</v>
      </c>
      <c r="G28" s="118">
        <f>AVERAGE(G6:G22)</f>
        <v>123.70588235294117</v>
      </c>
      <c r="H28" s="118">
        <f t="shared" si="8"/>
        <v>85.647058823529406</v>
      </c>
      <c r="I28" s="118">
        <f t="shared" si="8"/>
        <v>208.29411764705881</v>
      </c>
      <c r="J28" s="118">
        <f t="shared" si="8"/>
        <v>182.88235294117646</v>
      </c>
      <c r="K28" s="118">
        <f t="shared" si="8"/>
        <v>154.11764705882354</v>
      </c>
      <c r="L28" s="118">
        <f t="shared" si="8"/>
        <v>153.76470588235293</v>
      </c>
      <c r="M28" s="118">
        <f t="shared" si="8"/>
        <v>164.05882352941177</v>
      </c>
      <c r="N28" s="118">
        <f t="shared" si="8"/>
        <v>139.58823529411765</v>
      </c>
      <c r="O28" s="118">
        <f t="shared" si="8"/>
        <v>139.52941176470588</v>
      </c>
      <c r="P28" s="118">
        <f t="shared" si="8"/>
        <v>76.647058823529406</v>
      </c>
      <c r="Q28" s="118">
        <f t="shared" si="8"/>
        <v>188.52941176470588</v>
      </c>
      <c r="R28" s="118">
        <f>AVERAGE(Q6:Q22)</f>
        <v>188.52941176470588</v>
      </c>
      <c r="S28" s="118">
        <f>AVERAGE(R6:R22)</f>
        <v>253.52941176470588</v>
      </c>
      <c r="T28" s="118">
        <f t="shared" si="8"/>
        <v>98</v>
      </c>
      <c r="U28" s="118">
        <f t="shared" si="8"/>
        <v>206.88235294117646</v>
      </c>
      <c r="V28" s="118">
        <f t="shared" si="8"/>
        <v>276.76470588235293</v>
      </c>
      <c r="W28" s="118">
        <f t="shared" si="8"/>
        <v>164.23529411764707</v>
      </c>
      <c r="X28" s="118">
        <f t="shared" si="8"/>
        <v>118.29411764705883</v>
      </c>
      <c r="Y28" s="118">
        <f>AVERAGE(Y6:Y21)</f>
        <v>189.5</v>
      </c>
      <c r="Z28" s="118">
        <f t="shared" si="8"/>
        <v>209.23529411764707</v>
      </c>
      <c r="AA28" s="118">
        <f t="shared" si="8"/>
        <v>150.23529411764707</v>
      </c>
      <c r="AB28" s="118">
        <f t="shared" si="8"/>
        <v>236.52941176470588</v>
      </c>
      <c r="AC28" s="118">
        <f t="shared" si="8"/>
        <v>169.35294117647058</v>
      </c>
      <c r="AD28" s="118">
        <f t="shared" si="8"/>
        <v>208.70588235294119</v>
      </c>
      <c r="AE28" s="118">
        <f t="shared" si="8"/>
        <v>132.58823529411765</v>
      </c>
      <c r="AF28" s="118">
        <f t="shared" si="8"/>
        <v>112.94117647058823</v>
      </c>
      <c r="AG28" s="126"/>
    </row>
    <row r="29" spans="1:37" s="116" customFormat="1" ht="15">
      <c r="B29" s="124" t="s">
        <v>74</v>
      </c>
      <c r="C29" s="117">
        <v>450</v>
      </c>
      <c r="D29" s="117">
        <v>450</v>
      </c>
      <c r="E29" s="117">
        <v>450</v>
      </c>
      <c r="F29" s="117">
        <v>450</v>
      </c>
      <c r="G29" s="117">
        <v>450</v>
      </c>
      <c r="H29" s="117">
        <v>450</v>
      </c>
      <c r="I29" s="117">
        <v>450</v>
      </c>
      <c r="J29" s="117">
        <v>450</v>
      </c>
      <c r="K29" s="117">
        <v>450</v>
      </c>
      <c r="L29" s="117">
        <v>450</v>
      </c>
      <c r="M29" s="117">
        <v>450</v>
      </c>
      <c r="N29" s="117">
        <v>450</v>
      </c>
      <c r="O29" s="117">
        <v>450</v>
      </c>
      <c r="P29" s="117">
        <v>450</v>
      </c>
      <c r="Q29" s="117">
        <v>450</v>
      </c>
      <c r="R29" s="117">
        <v>450</v>
      </c>
      <c r="S29" s="117">
        <v>450</v>
      </c>
      <c r="T29" s="117">
        <v>450</v>
      </c>
      <c r="U29" s="117">
        <v>450</v>
      </c>
      <c r="V29" s="117">
        <v>450</v>
      </c>
      <c r="W29" s="117">
        <v>450</v>
      </c>
      <c r="X29" s="117">
        <v>450</v>
      </c>
      <c r="Y29" s="117">
        <v>450</v>
      </c>
      <c r="Z29" s="117">
        <v>450</v>
      </c>
      <c r="AA29" s="117">
        <v>450</v>
      </c>
      <c r="AB29" s="117">
        <v>450</v>
      </c>
      <c r="AC29" s="117">
        <v>450</v>
      </c>
      <c r="AD29" s="117">
        <v>450</v>
      </c>
      <c r="AE29" s="117">
        <v>450</v>
      </c>
      <c r="AF29" s="117">
        <v>450</v>
      </c>
    </row>
  </sheetData>
  <mergeCells count="1">
    <mergeCell ref="C1:AF1"/>
  </mergeCells>
  <conditionalFormatting sqref="A8">
    <cfRule type="duplicateValues" dxfId="66" priority="6"/>
  </conditionalFormatting>
  <conditionalFormatting sqref="A10:A11 A7">
    <cfRule type="duplicateValues" dxfId="65" priority="7"/>
  </conditionalFormatting>
  <conditionalFormatting sqref="A13">
    <cfRule type="duplicateValues" dxfId="64" priority="4"/>
  </conditionalFormatting>
  <conditionalFormatting sqref="A14">
    <cfRule type="duplicateValues" dxfId="63" priority="5"/>
  </conditionalFormatting>
  <conditionalFormatting sqref="A16:A17 A12">
    <cfRule type="duplicateValues" dxfId="62" priority="10"/>
  </conditionalFormatting>
  <conditionalFormatting sqref="A22 A15 A9 A3:A6">
    <cfRule type="duplicateValues" dxfId="61" priority="9"/>
  </conditionalFormatting>
  <conditionalFormatting sqref="A23:A24 A18:A20">
    <cfRule type="duplicateValues" dxfId="60" priority="8"/>
  </conditionalFormatting>
  <conditionalFormatting sqref="C3:AF24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K3:AK24">
    <cfRule type="cellIs" dxfId="59" priority="2" operator="lessThan">
      <formula>0</formula>
    </cfRule>
    <cfRule type="cellIs" dxfId="58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313A-936A-4090-A51A-4C245D11249B}">
  <dimension ref="A1:AL28"/>
  <sheetViews>
    <sheetView zoomScale="54" zoomScaleNormal="5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H61" sqref="AH61"/>
    </sheetView>
  </sheetViews>
  <sheetFormatPr defaultRowHeight="14.5"/>
  <cols>
    <col min="1" max="1" width="16" customWidth="1"/>
    <col min="2" max="2" width="39.36328125" customWidth="1"/>
    <col min="3" max="33" width="6.7265625" customWidth="1"/>
    <col min="34" max="34" width="10.6328125" bestFit="1" customWidth="1"/>
    <col min="35" max="35" width="16.08984375" bestFit="1" customWidth="1"/>
    <col min="36" max="36" width="18.6328125" bestFit="1" customWidth="1"/>
    <col min="37" max="37" width="13.36328125" customWidth="1"/>
    <col min="38" max="38" width="13" customWidth="1"/>
  </cols>
  <sheetData>
    <row r="1" spans="1:38" ht="35.25" customHeight="1">
      <c r="B1" s="127" t="s">
        <v>149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157"/>
    </row>
    <row r="2" spans="1:38" ht="73.5" customHeight="1">
      <c r="A2" s="60" t="s">
        <v>4</v>
      </c>
      <c r="B2" s="61" t="s">
        <v>5</v>
      </c>
      <c r="C2" s="100">
        <v>45139</v>
      </c>
      <c r="D2" s="100">
        <v>45140</v>
      </c>
      <c r="E2" s="100">
        <v>45141</v>
      </c>
      <c r="F2" s="100">
        <v>45142</v>
      </c>
      <c r="G2" s="100">
        <v>45143</v>
      </c>
      <c r="H2" s="100">
        <v>45144</v>
      </c>
      <c r="I2" s="100">
        <v>45145</v>
      </c>
      <c r="J2" s="100">
        <v>45146</v>
      </c>
      <c r="K2" s="100">
        <v>45147</v>
      </c>
      <c r="L2" s="100">
        <v>45148</v>
      </c>
      <c r="M2" s="100">
        <v>45149</v>
      </c>
      <c r="N2" s="100">
        <v>45150</v>
      </c>
      <c r="O2" s="100">
        <v>45151</v>
      </c>
      <c r="P2" s="100">
        <v>45152</v>
      </c>
      <c r="Q2" s="100">
        <v>45153</v>
      </c>
      <c r="R2" s="100">
        <v>45154</v>
      </c>
      <c r="S2" s="100">
        <v>45155</v>
      </c>
      <c r="T2" s="100">
        <v>45156</v>
      </c>
      <c r="U2" s="100">
        <v>45157</v>
      </c>
      <c r="V2" s="100">
        <v>45158</v>
      </c>
      <c r="W2" s="100">
        <v>45159</v>
      </c>
      <c r="X2" s="100">
        <v>45160</v>
      </c>
      <c r="Y2" s="100">
        <v>45161</v>
      </c>
      <c r="Z2" s="100">
        <v>45162</v>
      </c>
      <c r="AA2" s="100">
        <v>45163</v>
      </c>
      <c r="AB2" s="100">
        <v>45164</v>
      </c>
      <c r="AC2" s="100">
        <v>45165</v>
      </c>
      <c r="AD2" s="100">
        <v>45166</v>
      </c>
      <c r="AE2" s="100">
        <v>45167</v>
      </c>
      <c r="AF2" s="100">
        <v>45168</v>
      </c>
      <c r="AG2" s="100">
        <v>45169</v>
      </c>
      <c r="AH2" s="101" t="s">
        <v>79</v>
      </c>
      <c r="AI2" s="106" t="s">
        <v>18</v>
      </c>
      <c r="AJ2" s="125" t="s">
        <v>77</v>
      </c>
      <c r="AK2" s="107" t="s">
        <v>20</v>
      </c>
      <c r="AL2" s="108" t="s">
        <v>78</v>
      </c>
    </row>
    <row r="3" spans="1:38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10">
        <f t="shared" ref="AH3:AH23" si="0">AVERAGE(C3:AF3)</f>
        <v>0</v>
      </c>
      <c r="AI3" s="111">
        <v>10000</v>
      </c>
      <c r="AJ3" s="111">
        <f>SUM(C3:AG3)</f>
        <v>0</v>
      </c>
      <c r="AK3" s="112">
        <f>AJ3/AI3</f>
        <v>0</v>
      </c>
      <c r="AL3" s="113">
        <f>AI3-AJ3</f>
        <v>10000</v>
      </c>
    </row>
    <row r="4" spans="1:38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10">
        <f t="shared" si="0"/>
        <v>0</v>
      </c>
      <c r="AI4" s="111">
        <v>10000</v>
      </c>
      <c r="AJ4" s="111">
        <f t="shared" ref="AJ4:AJ23" si="1">SUM(C4:AG4)</f>
        <v>0</v>
      </c>
      <c r="AK4" s="112">
        <f t="shared" ref="AK4:AK22" si="2">AJ4/AI4</f>
        <v>0</v>
      </c>
      <c r="AL4" s="113">
        <f t="shared" ref="AL4:AL22" si="3">AI4-AJ4</f>
        <v>10000</v>
      </c>
    </row>
    <row r="5" spans="1:38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10">
        <f t="shared" si="0"/>
        <v>0</v>
      </c>
      <c r="AI5" s="111">
        <v>10000</v>
      </c>
      <c r="AJ5" s="111">
        <f t="shared" si="1"/>
        <v>0</v>
      </c>
      <c r="AK5" s="112">
        <f t="shared" si="2"/>
        <v>0</v>
      </c>
      <c r="AL5" s="113">
        <f t="shared" si="3"/>
        <v>10000</v>
      </c>
    </row>
    <row r="6" spans="1:38" ht="20">
      <c r="A6" s="99" t="s">
        <v>33</v>
      </c>
      <c r="B6" s="98" t="s">
        <v>34</v>
      </c>
      <c r="C6" s="103">
        <v>0</v>
      </c>
      <c r="D6" s="103">
        <v>0</v>
      </c>
      <c r="E6" s="103">
        <v>0</v>
      </c>
      <c r="F6" s="103">
        <v>0</v>
      </c>
      <c r="G6" s="103">
        <v>0</v>
      </c>
      <c r="H6" s="103">
        <v>0</v>
      </c>
      <c r="I6" s="103">
        <v>0</v>
      </c>
      <c r="J6" s="103">
        <v>0</v>
      </c>
      <c r="K6" s="103">
        <v>0</v>
      </c>
      <c r="L6" s="103">
        <v>0</v>
      </c>
      <c r="M6" s="103">
        <v>0</v>
      </c>
      <c r="N6" s="103">
        <v>4</v>
      </c>
      <c r="O6" s="103">
        <v>12</v>
      </c>
      <c r="P6" s="103">
        <v>124</v>
      </c>
      <c r="Q6" s="103">
        <v>339</v>
      </c>
      <c r="R6" s="103">
        <v>200</v>
      </c>
      <c r="S6" s="103">
        <v>131</v>
      </c>
      <c r="T6" s="103">
        <v>167</v>
      </c>
      <c r="U6" s="103">
        <v>231</v>
      </c>
      <c r="V6" s="103">
        <v>0</v>
      </c>
      <c r="W6" s="103">
        <v>2</v>
      </c>
      <c r="X6" s="103">
        <v>43</v>
      </c>
      <c r="Y6" s="103">
        <v>1</v>
      </c>
      <c r="Z6" s="103">
        <v>229</v>
      </c>
      <c r="AA6" s="103">
        <v>7</v>
      </c>
      <c r="AB6" s="103">
        <v>123</v>
      </c>
      <c r="AC6" s="103">
        <v>245</v>
      </c>
      <c r="AD6" s="103">
        <v>91</v>
      </c>
      <c r="AE6" s="103">
        <v>124</v>
      </c>
      <c r="AF6" s="103">
        <v>356</v>
      </c>
      <c r="AG6" s="103">
        <v>0</v>
      </c>
      <c r="AH6" s="110">
        <f t="shared" si="0"/>
        <v>80.966666666666669</v>
      </c>
      <c r="AI6" s="111">
        <v>10000</v>
      </c>
      <c r="AJ6" s="111">
        <f>SUM(C6:AG6)</f>
        <v>2429</v>
      </c>
      <c r="AK6" s="112">
        <f>AJ6/AI6</f>
        <v>0.2429</v>
      </c>
      <c r="AL6" s="113">
        <f t="shared" si="3"/>
        <v>7571</v>
      </c>
    </row>
    <row r="7" spans="1:38" ht="20">
      <c r="A7" s="99" t="s">
        <v>35</v>
      </c>
      <c r="B7" s="98" t="s">
        <v>36</v>
      </c>
      <c r="C7" s="103">
        <v>0</v>
      </c>
      <c r="D7" s="103">
        <v>169</v>
      </c>
      <c r="E7" s="103">
        <v>219</v>
      </c>
      <c r="F7" s="103">
        <v>51</v>
      </c>
      <c r="G7" s="103">
        <v>276</v>
      </c>
      <c r="H7" s="103">
        <v>0</v>
      </c>
      <c r="I7" s="103">
        <v>0</v>
      </c>
      <c r="J7" s="103">
        <v>126</v>
      </c>
      <c r="K7" s="103">
        <v>338</v>
      </c>
      <c r="L7" s="103">
        <v>3</v>
      </c>
      <c r="M7" s="103">
        <v>0</v>
      </c>
      <c r="N7" s="103">
        <v>16</v>
      </c>
      <c r="O7" s="103">
        <v>22</v>
      </c>
      <c r="P7" s="103">
        <v>103</v>
      </c>
      <c r="Q7" s="103">
        <v>339</v>
      </c>
      <c r="R7" s="103">
        <v>267</v>
      </c>
      <c r="S7" s="103">
        <v>188</v>
      </c>
      <c r="T7" s="103">
        <v>168</v>
      </c>
      <c r="U7" s="103">
        <v>104</v>
      </c>
      <c r="V7" s="103">
        <v>0</v>
      </c>
      <c r="W7" s="103">
        <v>2</v>
      </c>
      <c r="X7" s="103">
        <v>43</v>
      </c>
      <c r="Y7" s="103">
        <v>233</v>
      </c>
      <c r="Z7" s="103">
        <v>7</v>
      </c>
      <c r="AA7" s="103">
        <v>184</v>
      </c>
      <c r="AB7" s="103">
        <v>276</v>
      </c>
      <c r="AC7" s="103">
        <v>0</v>
      </c>
      <c r="AD7" s="103">
        <v>114</v>
      </c>
      <c r="AE7" s="103">
        <v>368</v>
      </c>
      <c r="AF7" s="103">
        <v>0</v>
      </c>
      <c r="AG7" s="103">
        <v>0</v>
      </c>
      <c r="AH7" s="110">
        <f t="shared" si="0"/>
        <v>120.53333333333333</v>
      </c>
      <c r="AI7" s="111">
        <v>10000</v>
      </c>
      <c r="AJ7" s="111">
        <f t="shared" si="1"/>
        <v>3616</v>
      </c>
      <c r="AK7" s="112">
        <f t="shared" si="2"/>
        <v>0.36159999999999998</v>
      </c>
      <c r="AL7" s="113">
        <f t="shared" si="3"/>
        <v>6384</v>
      </c>
    </row>
    <row r="8" spans="1:38" ht="20">
      <c r="A8" s="99" t="s">
        <v>37</v>
      </c>
      <c r="B8" s="98" t="s">
        <v>73</v>
      </c>
      <c r="C8" s="103">
        <v>0</v>
      </c>
      <c r="D8" s="103">
        <v>0</v>
      </c>
      <c r="E8" s="103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4</v>
      </c>
      <c r="L8" s="103">
        <v>4</v>
      </c>
      <c r="M8" s="103">
        <v>8</v>
      </c>
      <c r="N8" s="103">
        <v>10</v>
      </c>
      <c r="O8" s="103">
        <v>5</v>
      </c>
      <c r="P8" s="103">
        <v>8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  <c r="AA8" s="103">
        <v>0</v>
      </c>
      <c r="AB8" s="103">
        <v>0</v>
      </c>
      <c r="AC8" s="103">
        <v>0</v>
      </c>
      <c r="AD8" s="103">
        <v>0</v>
      </c>
      <c r="AE8" s="103">
        <v>0</v>
      </c>
      <c r="AF8" s="103">
        <v>0</v>
      </c>
      <c r="AG8" s="103">
        <v>0</v>
      </c>
      <c r="AH8" s="110">
        <f t="shared" si="0"/>
        <v>1.3</v>
      </c>
      <c r="AI8" s="111">
        <v>10000</v>
      </c>
      <c r="AJ8" s="111">
        <f t="shared" si="1"/>
        <v>39</v>
      </c>
      <c r="AK8" s="112">
        <f t="shared" si="2"/>
        <v>3.8999999999999998E-3</v>
      </c>
      <c r="AL8" s="113">
        <f t="shared" si="3"/>
        <v>9961</v>
      </c>
    </row>
    <row r="9" spans="1:38" ht="20">
      <c r="A9" s="99" t="s">
        <v>38</v>
      </c>
      <c r="B9" s="98" t="s">
        <v>39</v>
      </c>
      <c r="C9" s="103">
        <v>208</v>
      </c>
      <c r="D9" s="103">
        <v>105</v>
      </c>
      <c r="E9" s="103">
        <v>0</v>
      </c>
      <c r="F9" s="103">
        <v>0</v>
      </c>
      <c r="G9" s="103">
        <v>237</v>
      </c>
      <c r="H9" s="103">
        <v>353</v>
      </c>
      <c r="I9" s="103">
        <v>276</v>
      </c>
      <c r="J9" s="103">
        <v>29</v>
      </c>
      <c r="K9" s="103">
        <v>63</v>
      </c>
      <c r="L9" s="103">
        <v>165</v>
      </c>
      <c r="M9" s="103">
        <v>424</v>
      </c>
      <c r="N9" s="103">
        <v>551</v>
      </c>
      <c r="O9" s="103">
        <v>255</v>
      </c>
      <c r="P9" s="103">
        <v>1</v>
      </c>
      <c r="Q9" s="103">
        <v>380</v>
      </c>
      <c r="R9" s="103">
        <v>24</v>
      </c>
      <c r="S9" s="103">
        <v>0</v>
      </c>
      <c r="T9" s="103">
        <v>208</v>
      </c>
      <c r="U9" s="103">
        <v>611</v>
      </c>
      <c r="V9" s="103">
        <v>1</v>
      </c>
      <c r="W9" s="103">
        <v>75</v>
      </c>
      <c r="X9" s="103">
        <v>225</v>
      </c>
      <c r="Y9" s="103">
        <v>236</v>
      </c>
      <c r="Z9" s="103">
        <v>137</v>
      </c>
      <c r="AA9" s="103">
        <v>28</v>
      </c>
      <c r="AB9" s="103">
        <v>174</v>
      </c>
      <c r="AC9" s="103">
        <v>216</v>
      </c>
      <c r="AD9" s="103">
        <v>309</v>
      </c>
      <c r="AE9" s="103">
        <v>0</v>
      </c>
      <c r="AF9" s="103">
        <v>210</v>
      </c>
      <c r="AG9" s="103">
        <v>132</v>
      </c>
      <c r="AH9" s="110">
        <f t="shared" si="0"/>
        <v>183.36666666666667</v>
      </c>
      <c r="AI9" s="111">
        <v>10000</v>
      </c>
      <c r="AJ9" s="111">
        <v>5635</v>
      </c>
      <c r="AK9" s="112">
        <f t="shared" si="2"/>
        <v>0.5635</v>
      </c>
      <c r="AL9" s="113">
        <f t="shared" si="3"/>
        <v>4365</v>
      </c>
    </row>
    <row r="10" spans="1:38" ht="20">
      <c r="A10" s="200" t="s">
        <v>40</v>
      </c>
      <c r="B10" s="98" t="s">
        <v>68</v>
      </c>
      <c r="C10" s="103">
        <v>0</v>
      </c>
      <c r="D10" s="103">
        <v>75</v>
      </c>
      <c r="E10" s="103">
        <v>148</v>
      </c>
      <c r="F10" s="103">
        <v>207</v>
      </c>
      <c r="G10" s="103">
        <v>243</v>
      </c>
      <c r="H10" s="103">
        <v>33</v>
      </c>
      <c r="I10" s="103">
        <v>178</v>
      </c>
      <c r="J10" s="103">
        <v>150</v>
      </c>
      <c r="K10" s="103">
        <v>24</v>
      </c>
      <c r="L10" s="103">
        <v>80</v>
      </c>
      <c r="M10" s="103">
        <v>245</v>
      </c>
      <c r="N10" s="103">
        <v>227</v>
      </c>
      <c r="O10" s="103">
        <v>328</v>
      </c>
      <c r="P10" s="103">
        <v>341</v>
      </c>
      <c r="Q10" s="103">
        <v>144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282</v>
      </c>
      <c r="X10" s="103">
        <v>314</v>
      </c>
      <c r="Y10" s="103">
        <v>147</v>
      </c>
      <c r="Z10" s="103">
        <v>166</v>
      </c>
      <c r="AA10" s="103">
        <v>220</v>
      </c>
      <c r="AB10" s="103">
        <v>223</v>
      </c>
      <c r="AC10" s="103">
        <v>165</v>
      </c>
      <c r="AD10" s="103">
        <v>100</v>
      </c>
      <c r="AE10" s="103">
        <v>0</v>
      </c>
      <c r="AF10" s="103">
        <v>230</v>
      </c>
      <c r="AG10" s="103">
        <v>0</v>
      </c>
      <c r="AH10" s="110">
        <f t="shared" si="0"/>
        <v>142.33333333333334</v>
      </c>
      <c r="AI10" s="111">
        <v>10000</v>
      </c>
      <c r="AJ10" s="111">
        <v>6017</v>
      </c>
      <c r="AK10" s="112">
        <f t="shared" si="2"/>
        <v>0.60170000000000001</v>
      </c>
      <c r="AL10" s="201">
        <f>AI10-AJ10</f>
        <v>3983</v>
      </c>
    </row>
    <row r="11" spans="1:38" ht="20">
      <c r="A11" s="200" t="s">
        <v>41</v>
      </c>
      <c r="B11" s="98" t="s">
        <v>42</v>
      </c>
      <c r="C11" s="103">
        <v>207</v>
      </c>
      <c r="D11" s="103">
        <v>266</v>
      </c>
      <c r="E11" s="103">
        <v>72</v>
      </c>
      <c r="F11" s="103">
        <v>240</v>
      </c>
      <c r="G11" s="103">
        <v>122</v>
      </c>
      <c r="H11" s="103">
        <v>292</v>
      </c>
      <c r="I11" s="103">
        <v>4</v>
      </c>
      <c r="J11" s="103">
        <v>18</v>
      </c>
      <c r="K11" s="103">
        <v>207</v>
      </c>
      <c r="L11" s="103">
        <v>72</v>
      </c>
      <c r="M11" s="103">
        <v>163</v>
      </c>
      <c r="N11" s="103">
        <v>0</v>
      </c>
      <c r="O11" s="103">
        <v>0</v>
      </c>
      <c r="P11" s="103">
        <v>0</v>
      </c>
      <c r="Q11" s="103">
        <v>1</v>
      </c>
      <c r="R11" s="103">
        <v>2</v>
      </c>
      <c r="S11" s="103">
        <v>14</v>
      </c>
      <c r="T11" s="103">
        <v>309</v>
      </c>
      <c r="U11" s="103">
        <v>120</v>
      </c>
      <c r="V11" s="103">
        <v>291</v>
      </c>
      <c r="W11" s="103">
        <v>4</v>
      </c>
      <c r="X11" s="103">
        <v>256</v>
      </c>
      <c r="Y11" s="103">
        <v>69</v>
      </c>
      <c r="Z11" s="103">
        <v>173</v>
      </c>
      <c r="AA11" s="103">
        <v>487</v>
      </c>
      <c r="AB11" s="103">
        <v>229</v>
      </c>
      <c r="AC11" s="103">
        <v>65</v>
      </c>
      <c r="AD11" s="103">
        <v>4</v>
      </c>
      <c r="AE11" s="103">
        <v>325</v>
      </c>
      <c r="AF11" s="103">
        <v>0</v>
      </c>
      <c r="AG11" s="103">
        <v>0</v>
      </c>
      <c r="AH11" s="110">
        <v>194</v>
      </c>
      <c r="AI11" s="111">
        <v>10000</v>
      </c>
      <c r="AJ11" s="111">
        <v>4212</v>
      </c>
      <c r="AK11" s="112">
        <v>0.43</v>
      </c>
      <c r="AL11" s="201">
        <v>3334</v>
      </c>
    </row>
    <row r="12" spans="1:38" ht="20">
      <c r="A12" s="99" t="s">
        <v>43</v>
      </c>
      <c r="B12" s="98" t="s">
        <v>44</v>
      </c>
      <c r="C12" s="103">
        <v>207</v>
      </c>
      <c r="D12" s="103">
        <v>236</v>
      </c>
      <c r="E12" s="103">
        <v>98</v>
      </c>
      <c r="F12" s="103">
        <v>329</v>
      </c>
      <c r="G12" s="103">
        <v>243</v>
      </c>
      <c r="H12" s="103">
        <v>77</v>
      </c>
      <c r="I12" s="103">
        <v>0</v>
      </c>
      <c r="J12" s="103">
        <v>0</v>
      </c>
      <c r="K12" s="103">
        <v>13</v>
      </c>
      <c r="L12" s="103">
        <v>309</v>
      </c>
      <c r="M12" s="103">
        <v>133</v>
      </c>
      <c r="N12" s="103">
        <v>232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23</v>
      </c>
      <c r="Y12" s="103">
        <v>325</v>
      </c>
      <c r="Z12" s="103">
        <v>0</v>
      </c>
      <c r="AA12" s="103">
        <v>1</v>
      </c>
      <c r="AB12" s="103">
        <v>129</v>
      </c>
      <c r="AC12" s="103">
        <v>5</v>
      </c>
      <c r="AD12" s="103">
        <v>348</v>
      </c>
      <c r="AE12" s="103">
        <v>191</v>
      </c>
      <c r="AF12" s="103">
        <v>3</v>
      </c>
      <c r="AG12" s="103">
        <v>230</v>
      </c>
      <c r="AH12" s="110">
        <f t="shared" si="0"/>
        <v>96.733333333333334</v>
      </c>
      <c r="AI12" s="111">
        <v>10000</v>
      </c>
      <c r="AJ12" s="111">
        <v>3674</v>
      </c>
      <c r="AK12" s="112">
        <f t="shared" si="2"/>
        <v>0.3674</v>
      </c>
      <c r="AL12" s="113">
        <f t="shared" si="3"/>
        <v>6326</v>
      </c>
    </row>
    <row r="13" spans="1:38" ht="20">
      <c r="A13" s="99" t="s">
        <v>45</v>
      </c>
      <c r="B13" s="98" t="s">
        <v>46</v>
      </c>
      <c r="C13" s="103">
        <v>178</v>
      </c>
      <c r="D13" s="103">
        <v>268</v>
      </c>
      <c r="E13" s="103">
        <v>29</v>
      </c>
      <c r="F13" s="103">
        <v>95</v>
      </c>
      <c r="G13" s="103">
        <v>305</v>
      </c>
      <c r="H13" s="103">
        <v>15</v>
      </c>
      <c r="I13" s="103">
        <v>304</v>
      </c>
      <c r="J13" s="103">
        <v>13</v>
      </c>
      <c r="K13" s="103">
        <v>219</v>
      </c>
      <c r="L13" s="103">
        <v>84</v>
      </c>
      <c r="M13" s="103">
        <v>265</v>
      </c>
      <c r="N13" s="103">
        <v>122</v>
      </c>
      <c r="O13" s="103">
        <v>4</v>
      </c>
      <c r="P13" s="103">
        <v>1</v>
      </c>
      <c r="Q13" s="103">
        <v>1</v>
      </c>
      <c r="R13" s="103">
        <v>1</v>
      </c>
      <c r="S13" s="103">
        <v>211</v>
      </c>
      <c r="T13" s="103">
        <v>196</v>
      </c>
      <c r="U13" s="103">
        <v>308</v>
      </c>
      <c r="V13" s="103">
        <v>1</v>
      </c>
      <c r="W13" s="103">
        <v>26</v>
      </c>
      <c r="X13" s="103">
        <v>314</v>
      </c>
      <c r="Y13" s="103">
        <v>146</v>
      </c>
      <c r="Z13" s="103">
        <v>7</v>
      </c>
      <c r="AA13" s="103">
        <v>495</v>
      </c>
      <c r="AB13" s="103">
        <v>235</v>
      </c>
      <c r="AC13" s="103">
        <v>66</v>
      </c>
      <c r="AD13" s="103">
        <v>5</v>
      </c>
      <c r="AE13" s="103">
        <v>495</v>
      </c>
      <c r="AF13" s="103">
        <v>225</v>
      </c>
      <c r="AG13" s="103">
        <v>7</v>
      </c>
      <c r="AH13" s="110">
        <f t="shared" si="0"/>
        <v>154.46666666666667</v>
      </c>
      <c r="AI13" s="111">
        <v>10000</v>
      </c>
      <c r="AJ13" s="111">
        <v>4649</v>
      </c>
      <c r="AK13" s="112">
        <f t="shared" si="2"/>
        <v>0.46489999999999998</v>
      </c>
      <c r="AL13" s="113">
        <f t="shared" si="3"/>
        <v>5351</v>
      </c>
    </row>
    <row r="14" spans="1:38" ht="20">
      <c r="A14" s="99" t="s">
        <v>47</v>
      </c>
      <c r="B14" s="98" t="s">
        <v>48</v>
      </c>
      <c r="C14" s="103">
        <v>446</v>
      </c>
      <c r="D14" s="103">
        <v>30</v>
      </c>
      <c r="E14" s="103">
        <v>71</v>
      </c>
      <c r="F14" s="103">
        <v>346</v>
      </c>
      <c r="G14" s="103">
        <v>317</v>
      </c>
      <c r="H14" s="103">
        <v>0</v>
      </c>
      <c r="I14" s="103">
        <v>0</v>
      </c>
      <c r="J14" s="103">
        <v>15</v>
      </c>
      <c r="K14" s="103">
        <v>200</v>
      </c>
      <c r="L14" s="103">
        <v>108</v>
      </c>
      <c r="M14" s="103">
        <v>382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236</v>
      </c>
      <c r="T14" s="103">
        <v>190</v>
      </c>
      <c r="U14" s="103">
        <v>315</v>
      </c>
      <c r="V14" s="103">
        <v>0</v>
      </c>
      <c r="W14" s="103">
        <v>55</v>
      </c>
      <c r="X14" s="103">
        <v>290</v>
      </c>
      <c r="Y14" s="103">
        <v>228</v>
      </c>
      <c r="Z14" s="103">
        <v>472</v>
      </c>
      <c r="AA14" s="103">
        <v>184</v>
      </c>
      <c r="AB14" s="103">
        <v>67</v>
      </c>
      <c r="AC14" s="103">
        <v>1</v>
      </c>
      <c r="AD14" s="103">
        <v>0</v>
      </c>
      <c r="AE14" s="103">
        <v>535</v>
      </c>
      <c r="AF14" s="103">
        <v>202</v>
      </c>
      <c r="AG14" s="103">
        <v>145</v>
      </c>
      <c r="AH14" s="110">
        <f t="shared" si="0"/>
        <v>156.33333333333334</v>
      </c>
      <c r="AI14" s="111">
        <v>10000</v>
      </c>
      <c r="AJ14" s="111">
        <v>4840</v>
      </c>
      <c r="AK14" s="112">
        <f t="shared" si="2"/>
        <v>0.48399999999999999</v>
      </c>
      <c r="AL14" s="113">
        <f t="shared" si="3"/>
        <v>5160</v>
      </c>
    </row>
    <row r="15" spans="1:38" ht="20">
      <c r="A15" s="99" t="s">
        <v>49</v>
      </c>
      <c r="B15" s="98" t="s">
        <v>50</v>
      </c>
      <c r="C15" s="103">
        <v>316</v>
      </c>
      <c r="D15" s="103">
        <v>22</v>
      </c>
      <c r="E15" s="103">
        <v>202</v>
      </c>
      <c r="F15" s="103">
        <v>1</v>
      </c>
      <c r="G15" s="103">
        <v>47</v>
      </c>
      <c r="H15" s="103">
        <v>0</v>
      </c>
      <c r="I15" s="103">
        <v>249</v>
      </c>
      <c r="J15" s="103">
        <v>252</v>
      </c>
      <c r="K15" s="103">
        <v>161</v>
      </c>
      <c r="L15" s="103">
        <v>158</v>
      </c>
      <c r="M15" s="103">
        <v>418</v>
      </c>
      <c r="N15" s="103">
        <v>278</v>
      </c>
      <c r="O15" s="103">
        <v>0</v>
      </c>
      <c r="P15" s="103">
        <v>2</v>
      </c>
      <c r="Q15" s="103">
        <v>389</v>
      </c>
      <c r="R15" s="103">
        <v>13</v>
      </c>
      <c r="S15" s="103">
        <v>219</v>
      </c>
      <c r="T15" s="103">
        <v>24</v>
      </c>
      <c r="U15" s="103">
        <v>165</v>
      </c>
      <c r="V15" s="103">
        <v>419</v>
      </c>
      <c r="W15" s="103">
        <v>112</v>
      </c>
      <c r="X15" s="103">
        <v>111</v>
      </c>
      <c r="Y15" s="103">
        <v>18</v>
      </c>
      <c r="Z15" s="103">
        <v>1</v>
      </c>
      <c r="AA15" s="103">
        <v>38</v>
      </c>
      <c r="AB15" s="103">
        <v>20</v>
      </c>
      <c r="AC15" s="103">
        <v>309</v>
      </c>
      <c r="AD15" s="103">
        <v>220</v>
      </c>
      <c r="AE15" s="103">
        <v>301</v>
      </c>
      <c r="AF15" s="103">
        <v>256</v>
      </c>
      <c r="AG15" s="103">
        <v>92</v>
      </c>
      <c r="AH15" s="110">
        <f t="shared" si="0"/>
        <v>157.36666666666667</v>
      </c>
      <c r="AI15" s="111">
        <v>10000</v>
      </c>
      <c r="AJ15" s="111">
        <v>5608</v>
      </c>
      <c r="AK15" s="112">
        <f t="shared" si="2"/>
        <v>0.56079999999999997</v>
      </c>
      <c r="AL15" s="113">
        <f t="shared" si="3"/>
        <v>4392</v>
      </c>
    </row>
    <row r="16" spans="1:38" ht="20">
      <c r="A16" s="99" t="s">
        <v>51</v>
      </c>
      <c r="B16" s="98" t="s">
        <v>52</v>
      </c>
      <c r="C16" s="103">
        <v>1</v>
      </c>
      <c r="D16" s="103">
        <v>25</v>
      </c>
      <c r="E16" s="103">
        <v>195</v>
      </c>
      <c r="F16" s="103">
        <v>410</v>
      </c>
      <c r="G16" s="103">
        <v>180</v>
      </c>
      <c r="H16" s="103">
        <v>498</v>
      </c>
      <c r="I16" s="103">
        <v>77</v>
      </c>
      <c r="J16" s="103">
        <v>10</v>
      </c>
      <c r="K16" s="103">
        <v>199</v>
      </c>
      <c r="L16" s="103">
        <v>244</v>
      </c>
      <c r="M16" s="103">
        <v>239</v>
      </c>
      <c r="N16" s="103">
        <v>1</v>
      </c>
      <c r="O16" s="103">
        <v>0</v>
      </c>
      <c r="P16" s="103">
        <v>1</v>
      </c>
      <c r="Q16" s="103">
        <v>0</v>
      </c>
      <c r="R16" s="103">
        <v>14</v>
      </c>
      <c r="S16" s="103">
        <v>202</v>
      </c>
      <c r="T16" s="103">
        <v>386</v>
      </c>
      <c r="U16" s="103">
        <v>100</v>
      </c>
      <c r="V16" s="103">
        <v>266</v>
      </c>
      <c r="W16" s="103">
        <v>0</v>
      </c>
      <c r="X16" s="103">
        <v>0</v>
      </c>
      <c r="Y16" s="103">
        <v>184</v>
      </c>
      <c r="Z16" s="103">
        <v>6</v>
      </c>
      <c r="AA16" s="103">
        <v>448</v>
      </c>
      <c r="AB16" s="103">
        <v>291</v>
      </c>
      <c r="AC16" s="103">
        <v>351</v>
      </c>
      <c r="AD16" s="103">
        <v>181</v>
      </c>
      <c r="AE16" s="103">
        <v>29</v>
      </c>
      <c r="AF16" s="103">
        <v>268</v>
      </c>
      <c r="AG16" s="103">
        <v>18</v>
      </c>
      <c r="AH16" s="110">
        <f t="shared" si="0"/>
        <v>160.19999999999999</v>
      </c>
      <c r="AI16" s="111">
        <v>10000</v>
      </c>
      <c r="AJ16" s="111">
        <v>4832</v>
      </c>
      <c r="AK16" s="112">
        <f t="shared" si="2"/>
        <v>0.48320000000000002</v>
      </c>
      <c r="AL16" s="113">
        <f t="shared" si="3"/>
        <v>5168</v>
      </c>
    </row>
    <row r="17" spans="1:38" ht="20">
      <c r="A17" s="109" t="s">
        <v>53</v>
      </c>
      <c r="B17" s="98" t="s">
        <v>54</v>
      </c>
      <c r="C17" s="103">
        <v>0</v>
      </c>
      <c r="D17" s="103">
        <v>75</v>
      </c>
      <c r="E17" s="103">
        <v>147</v>
      </c>
      <c r="F17" s="103">
        <v>310</v>
      </c>
      <c r="G17" s="103">
        <v>214</v>
      </c>
      <c r="H17" s="103">
        <v>358</v>
      </c>
      <c r="I17" s="103">
        <v>237</v>
      </c>
      <c r="J17" s="103">
        <v>90</v>
      </c>
      <c r="K17" s="103">
        <v>135</v>
      </c>
      <c r="L17" s="103">
        <v>164</v>
      </c>
      <c r="M17" s="103">
        <v>215</v>
      </c>
      <c r="N17" s="103">
        <v>162</v>
      </c>
      <c r="O17" s="103">
        <v>0</v>
      </c>
      <c r="P17" s="103">
        <v>0</v>
      </c>
      <c r="Q17" s="103">
        <v>0</v>
      </c>
      <c r="R17" s="103">
        <v>0</v>
      </c>
      <c r="S17" s="103">
        <v>13</v>
      </c>
      <c r="T17" s="103">
        <v>146</v>
      </c>
      <c r="U17" s="103">
        <v>267</v>
      </c>
      <c r="V17" s="103">
        <v>106</v>
      </c>
      <c r="W17" s="103">
        <v>115</v>
      </c>
      <c r="X17" s="103">
        <v>116</v>
      </c>
      <c r="Y17" s="103">
        <v>317</v>
      </c>
      <c r="Z17" s="103">
        <v>0</v>
      </c>
      <c r="AA17" s="103">
        <v>1</v>
      </c>
      <c r="AB17" s="103">
        <v>139</v>
      </c>
      <c r="AC17" s="103">
        <v>3</v>
      </c>
      <c r="AD17" s="103">
        <v>351</v>
      </c>
      <c r="AE17" s="103">
        <v>191</v>
      </c>
      <c r="AF17" s="103">
        <v>3</v>
      </c>
      <c r="AG17" s="103">
        <v>237</v>
      </c>
      <c r="AH17" s="110">
        <f t="shared" si="0"/>
        <v>129.16666666666666</v>
      </c>
      <c r="AI17" s="111">
        <v>10000</v>
      </c>
      <c r="AJ17" s="111">
        <v>4116</v>
      </c>
      <c r="AK17" s="112">
        <f t="shared" si="2"/>
        <v>0.41160000000000002</v>
      </c>
      <c r="AL17" s="113">
        <f t="shared" si="3"/>
        <v>5884</v>
      </c>
    </row>
    <row r="18" spans="1:38" ht="20">
      <c r="A18" s="99" t="s">
        <v>55</v>
      </c>
      <c r="B18" s="98" t="s">
        <v>68</v>
      </c>
      <c r="C18" s="103">
        <v>1</v>
      </c>
      <c r="D18" s="103">
        <v>2</v>
      </c>
      <c r="E18" s="103">
        <v>213</v>
      </c>
      <c r="F18" s="103">
        <v>347</v>
      </c>
      <c r="G18" s="103">
        <v>366</v>
      </c>
      <c r="H18" s="103">
        <v>284</v>
      </c>
      <c r="I18" s="103">
        <v>410</v>
      </c>
      <c r="J18" s="103">
        <v>2</v>
      </c>
      <c r="K18" s="103">
        <v>17</v>
      </c>
      <c r="L18" s="103">
        <v>250</v>
      </c>
      <c r="M18" s="103">
        <v>150</v>
      </c>
      <c r="N18" s="103">
        <v>45</v>
      </c>
      <c r="O18" s="103">
        <v>0</v>
      </c>
      <c r="P18" s="103">
        <v>1</v>
      </c>
      <c r="Q18" s="103">
        <v>236</v>
      </c>
      <c r="R18" s="103">
        <v>2</v>
      </c>
      <c r="S18" s="103">
        <v>1</v>
      </c>
      <c r="T18" s="103">
        <v>210</v>
      </c>
      <c r="U18" s="103">
        <v>142</v>
      </c>
      <c r="V18" s="103">
        <v>294</v>
      </c>
      <c r="W18" s="103">
        <v>88</v>
      </c>
      <c r="X18" s="103">
        <v>269</v>
      </c>
      <c r="Y18" s="103">
        <v>185</v>
      </c>
      <c r="Z18" s="103">
        <v>7</v>
      </c>
      <c r="AA18" s="103">
        <v>401</v>
      </c>
      <c r="AB18" s="103">
        <v>331</v>
      </c>
      <c r="AC18" s="103">
        <v>67</v>
      </c>
      <c r="AD18" s="103">
        <v>3</v>
      </c>
      <c r="AE18" s="103">
        <v>3</v>
      </c>
      <c r="AF18" s="103">
        <v>528</v>
      </c>
      <c r="AG18" s="103">
        <v>194</v>
      </c>
      <c r="AH18" s="110">
        <f t="shared" si="0"/>
        <v>161.83333333333334</v>
      </c>
      <c r="AI18" s="111">
        <v>10000</v>
      </c>
      <c r="AJ18" s="111">
        <v>5052</v>
      </c>
      <c r="AK18" s="112">
        <f t="shared" si="2"/>
        <v>0.50519999999999998</v>
      </c>
      <c r="AL18" s="113">
        <f t="shared" si="3"/>
        <v>4948</v>
      </c>
    </row>
    <row r="19" spans="1:38" ht="20">
      <c r="A19" s="115" t="s">
        <v>58</v>
      </c>
      <c r="B19" s="98" t="s">
        <v>59</v>
      </c>
      <c r="C19" s="103">
        <v>182</v>
      </c>
      <c r="D19" s="103">
        <v>75</v>
      </c>
      <c r="E19" s="103">
        <v>147</v>
      </c>
      <c r="F19" s="103">
        <v>310</v>
      </c>
      <c r="G19" s="103">
        <v>216</v>
      </c>
      <c r="H19" s="103">
        <v>325</v>
      </c>
      <c r="I19" s="103">
        <v>255</v>
      </c>
      <c r="J19" s="103">
        <v>77</v>
      </c>
      <c r="K19" s="103">
        <v>0</v>
      </c>
      <c r="L19" s="103">
        <v>152</v>
      </c>
      <c r="M19" s="103">
        <v>256</v>
      </c>
      <c r="N19" s="103">
        <v>594</v>
      </c>
      <c r="O19" s="103">
        <v>443</v>
      </c>
      <c r="P19" s="103">
        <v>2</v>
      </c>
      <c r="Q19" s="103">
        <v>387</v>
      </c>
      <c r="R19" s="103">
        <v>13</v>
      </c>
      <c r="S19" s="103">
        <v>215</v>
      </c>
      <c r="T19" s="103">
        <v>320</v>
      </c>
      <c r="U19" s="103">
        <v>275</v>
      </c>
      <c r="V19" s="103">
        <v>2</v>
      </c>
      <c r="W19" s="103">
        <v>75</v>
      </c>
      <c r="X19" s="103">
        <v>225</v>
      </c>
      <c r="Y19" s="103">
        <v>236</v>
      </c>
      <c r="Z19" s="103">
        <v>138</v>
      </c>
      <c r="AA19" s="103">
        <v>30</v>
      </c>
      <c r="AB19" s="103">
        <v>173</v>
      </c>
      <c r="AC19" s="103">
        <v>213</v>
      </c>
      <c r="AD19" s="103">
        <v>302</v>
      </c>
      <c r="AE19" s="103">
        <v>0</v>
      </c>
      <c r="AF19" s="103">
        <v>8</v>
      </c>
      <c r="AG19" s="103">
        <v>226</v>
      </c>
      <c r="AH19" s="110">
        <f t="shared" si="0"/>
        <v>188.2</v>
      </c>
      <c r="AI19" s="111">
        <v>10000</v>
      </c>
      <c r="AJ19" s="111">
        <f t="shared" si="1"/>
        <v>5872</v>
      </c>
      <c r="AK19" s="112">
        <f t="shared" si="2"/>
        <v>0.58720000000000006</v>
      </c>
      <c r="AL19" s="113">
        <f t="shared" si="3"/>
        <v>4128</v>
      </c>
    </row>
    <row r="20" spans="1:38" ht="20">
      <c r="A20" s="99" t="s">
        <v>60</v>
      </c>
      <c r="B20" s="98" t="s">
        <v>61</v>
      </c>
      <c r="C20" s="103">
        <v>0</v>
      </c>
      <c r="D20" s="103">
        <v>0</v>
      </c>
      <c r="E20" s="103">
        <v>0</v>
      </c>
      <c r="F20" s="103">
        <v>0</v>
      </c>
      <c r="G20" s="103">
        <v>0</v>
      </c>
      <c r="H20" s="103">
        <v>162</v>
      </c>
      <c r="I20" s="103">
        <v>285</v>
      </c>
      <c r="J20" s="103">
        <v>161</v>
      </c>
      <c r="K20" s="103">
        <v>144</v>
      </c>
      <c r="L20" s="103">
        <v>218</v>
      </c>
      <c r="M20" s="103">
        <v>102</v>
      </c>
      <c r="N20" s="103">
        <v>258</v>
      </c>
      <c r="O20" s="103">
        <v>241</v>
      </c>
      <c r="P20" s="103">
        <v>516</v>
      </c>
      <c r="Q20" s="103">
        <v>548</v>
      </c>
      <c r="R20" s="103">
        <v>2</v>
      </c>
      <c r="S20" s="103">
        <v>4</v>
      </c>
      <c r="T20" s="103">
        <v>190</v>
      </c>
      <c r="U20" s="103">
        <v>390</v>
      </c>
      <c r="V20" s="103">
        <v>0</v>
      </c>
      <c r="W20" s="103">
        <v>146</v>
      </c>
      <c r="X20" s="103">
        <v>92</v>
      </c>
      <c r="Y20" s="103">
        <v>0</v>
      </c>
      <c r="Z20" s="103">
        <v>0</v>
      </c>
      <c r="AA20" s="103">
        <v>0</v>
      </c>
      <c r="AB20" s="103">
        <v>0</v>
      </c>
      <c r="AC20" s="103">
        <v>0</v>
      </c>
      <c r="AD20" s="103">
        <v>221</v>
      </c>
      <c r="AE20" s="103">
        <v>310</v>
      </c>
      <c r="AF20" s="103">
        <v>163</v>
      </c>
      <c r="AG20" s="103">
        <v>36</v>
      </c>
      <c r="AH20" s="110">
        <f t="shared" si="0"/>
        <v>138.43333333333334</v>
      </c>
      <c r="AI20" s="111">
        <v>10000</v>
      </c>
      <c r="AJ20" s="111">
        <v>5086</v>
      </c>
      <c r="AK20" s="112">
        <f t="shared" si="2"/>
        <v>0.50860000000000005</v>
      </c>
      <c r="AL20" s="113">
        <f t="shared" si="3"/>
        <v>4914</v>
      </c>
    </row>
    <row r="21" spans="1:38" ht="20">
      <c r="A21" s="99" t="s">
        <v>62</v>
      </c>
      <c r="B21" s="98" t="s">
        <v>63</v>
      </c>
      <c r="C21" s="103">
        <v>0</v>
      </c>
      <c r="D21" s="103">
        <v>74</v>
      </c>
      <c r="E21" s="103">
        <v>150</v>
      </c>
      <c r="F21" s="103">
        <v>226</v>
      </c>
      <c r="G21" s="103">
        <v>218</v>
      </c>
      <c r="H21" s="103">
        <v>194</v>
      </c>
      <c r="I21" s="103">
        <v>234</v>
      </c>
      <c r="J21" s="103">
        <v>265</v>
      </c>
      <c r="K21" s="103">
        <v>140</v>
      </c>
      <c r="L21" s="103">
        <v>141</v>
      </c>
      <c r="M21" s="103">
        <v>599</v>
      </c>
      <c r="N21" s="103">
        <v>433</v>
      </c>
      <c r="O21" s="103">
        <v>188</v>
      </c>
      <c r="P21" s="103">
        <v>1</v>
      </c>
      <c r="Q21" s="103">
        <v>293</v>
      </c>
      <c r="R21" s="103">
        <v>110</v>
      </c>
      <c r="S21" s="103">
        <v>0</v>
      </c>
      <c r="T21" s="103">
        <v>222</v>
      </c>
      <c r="U21" s="103">
        <v>182</v>
      </c>
      <c r="V21" s="103">
        <v>420</v>
      </c>
      <c r="W21" s="103">
        <v>75</v>
      </c>
      <c r="X21" s="103">
        <v>148</v>
      </c>
      <c r="Y21" s="103">
        <v>472</v>
      </c>
      <c r="Z21" s="103">
        <v>5</v>
      </c>
      <c r="AA21" s="103">
        <v>112</v>
      </c>
      <c r="AB21" s="103">
        <v>142</v>
      </c>
      <c r="AC21" s="103">
        <v>350</v>
      </c>
      <c r="AD21" s="103">
        <v>76</v>
      </c>
      <c r="AE21" s="103">
        <v>0</v>
      </c>
      <c r="AF21" s="103">
        <v>106</v>
      </c>
      <c r="AG21" s="103">
        <v>375</v>
      </c>
      <c r="AH21" s="110">
        <f t="shared" si="0"/>
        <v>185.86666666666667</v>
      </c>
      <c r="AI21" s="111">
        <v>10000</v>
      </c>
      <c r="AJ21" s="111">
        <v>5970</v>
      </c>
      <c r="AK21" s="112">
        <f t="shared" si="2"/>
        <v>0.59699999999999998</v>
      </c>
      <c r="AL21" s="113">
        <f t="shared" si="3"/>
        <v>4030</v>
      </c>
    </row>
    <row r="22" spans="1:38" ht="20">
      <c r="A22" s="99" t="s">
        <v>64</v>
      </c>
      <c r="B22" s="98" t="s">
        <v>65</v>
      </c>
      <c r="C22" s="103">
        <v>209</v>
      </c>
      <c r="D22" s="103">
        <v>238</v>
      </c>
      <c r="E22" s="103">
        <v>100</v>
      </c>
      <c r="F22" s="103">
        <v>244</v>
      </c>
      <c r="G22" s="103">
        <v>336</v>
      </c>
      <c r="H22" s="103">
        <v>77</v>
      </c>
      <c r="I22" s="103">
        <v>0</v>
      </c>
      <c r="J22" s="103">
        <v>11</v>
      </c>
      <c r="K22" s="103">
        <v>200</v>
      </c>
      <c r="L22" s="103">
        <v>249</v>
      </c>
      <c r="M22" s="103">
        <v>235</v>
      </c>
      <c r="N22" s="103">
        <v>2</v>
      </c>
      <c r="O22" s="103">
        <v>1</v>
      </c>
      <c r="P22" s="103">
        <v>0</v>
      </c>
      <c r="Q22" s="103">
        <v>2</v>
      </c>
      <c r="R22" s="103">
        <v>15</v>
      </c>
      <c r="S22" s="103">
        <v>204</v>
      </c>
      <c r="T22" s="103">
        <v>389</v>
      </c>
      <c r="U22" s="103">
        <v>175</v>
      </c>
      <c r="V22" s="103">
        <v>248</v>
      </c>
      <c r="W22" s="103">
        <v>221</v>
      </c>
      <c r="X22" s="103">
        <v>465</v>
      </c>
      <c r="Y22" s="103">
        <v>228</v>
      </c>
      <c r="Z22" s="103">
        <v>230</v>
      </c>
      <c r="AA22" s="103">
        <v>71</v>
      </c>
      <c r="AB22" s="103">
        <v>262</v>
      </c>
      <c r="AC22" s="103">
        <v>206</v>
      </c>
      <c r="AD22" s="103">
        <v>0</v>
      </c>
      <c r="AE22" s="103">
        <v>1</v>
      </c>
      <c r="AF22" s="103">
        <v>106</v>
      </c>
      <c r="AG22" s="103">
        <v>377</v>
      </c>
      <c r="AH22" s="110">
        <f>AVERAGE(C22:AF22)</f>
        <v>157.5</v>
      </c>
      <c r="AI22" s="111">
        <v>10000</v>
      </c>
      <c r="AJ22" s="111">
        <v>5106</v>
      </c>
      <c r="AK22" s="112">
        <f t="shared" si="2"/>
        <v>0.51060000000000005</v>
      </c>
      <c r="AL22" s="113">
        <f t="shared" si="3"/>
        <v>4894</v>
      </c>
    </row>
    <row r="23" spans="1:38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10" t="e">
        <f t="shared" si="0"/>
        <v>#DIV/0!</v>
      </c>
      <c r="AI23" s="111">
        <v>10000</v>
      </c>
      <c r="AJ23" s="111">
        <f t="shared" si="1"/>
        <v>0</v>
      </c>
      <c r="AK23" s="112">
        <f>AJ23/AI23</f>
        <v>0</v>
      </c>
      <c r="AL23" s="113">
        <f>AI23-AJ23</f>
        <v>10000</v>
      </c>
    </row>
    <row r="24" spans="1:38" s="116" customFormat="1" ht="28.5" customHeight="1">
      <c r="B24" s="124" t="s">
        <v>70</v>
      </c>
      <c r="C24" s="118">
        <f t="shared" ref="C24:Q24" si="4">SUM(C6:C22)</f>
        <v>1955</v>
      </c>
      <c r="D24" s="118">
        <f t="shared" si="4"/>
        <v>1660</v>
      </c>
      <c r="E24" s="118">
        <f t="shared" si="4"/>
        <v>1791</v>
      </c>
      <c r="F24" s="118">
        <f t="shared" si="4"/>
        <v>3116</v>
      </c>
      <c r="G24" s="118">
        <f t="shared" si="4"/>
        <v>3320</v>
      </c>
      <c r="H24" s="118">
        <f t="shared" si="4"/>
        <v>2668</v>
      </c>
      <c r="I24" s="118">
        <f t="shared" si="4"/>
        <v>2509</v>
      </c>
      <c r="J24" s="118">
        <f t="shared" si="4"/>
        <v>1219</v>
      </c>
      <c r="K24" s="118">
        <f t="shared" si="4"/>
        <v>2064</v>
      </c>
      <c r="L24" s="118">
        <f t="shared" si="4"/>
        <v>2401</v>
      </c>
      <c r="M24" s="118">
        <f t="shared" si="4"/>
        <v>3834</v>
      </c>
      <c r="N24" s="118">
        <f t="shared" si="4"/>
        <v>2935</v>
      </c>
      <c r="O24" s="118">
        <f t="shared" si="4"/>
        <v>1499</v>
      </c>
      <c r="P24" s="118">
        <f t="shared" si="4"/>
        <v>1101</v>
      </c>
      <c r="Q24" s="118">
        <f t="shared" si="4"/>
        <v>3059</v>
      </c>
      <c r="R24" s="118">
        <f>SUM(Q6:Q22)</f>
        <v>3059</v>
      </c>
      <c r="S24" s="118">
        <f>SUM(R6:R22)</f>
        <v>663</v>
      </c>
      <c r="T24" s="118">
        <f t="shared" ref="T24:AF24" si="5">SUM(T6:T22)</f>
        <v>3125</v>
      </c>
      <c r="U24" s="118">
        <f t="shared" si="5"/>
        <v>3385</v>
      </c>
      <c r="V24" s="118">
        <f t="shared" si="5"/>
        <v>2048</v>
      </c>
      <c r="W24" s="118">
        <f t="shared" si="5"/>
        <v>1278</v>
      </c>
      <c r="X24" s="118">
        <f t="shared" si="5"/>
        <v>2934</v>
      </c>
      <c r="Y24" s="118">
        <f>SUM(Y6:Y21)</f>
        <v>2797</v>
      </c>
      <c r="Z24" s="118">
        <f t="shared" si="5"/>
        <v>1578</v>
      </c>
      <c r="AA24" s="118">
        <f t="shared" si="5"/>
        <v>2707</v>
      </c>
      <c r="AB24" s="118">
        <f t="shared" si="5"/>
        <v>2814</v>
      </c>
      <c r="AC24" s="118">
        <f t="shared" si="5"/>
        <v>2262</v>
      </c>
      <c r="AD24" s="118">
        <f t="shared" si="5"/>
        <v>2325</v>
      </c>
      <c r="AE24" s="118">
        <f t="shared" si="5"/>
        <v>2873</v>
      </c>
      <c r="AF24" s="118">
        <f t="shared" si="5"/>
        <v>2664</v>
      </c>
      <c r="AG24" s="118"/>
      <c r="AH24" s="119"/>
      <c r="AI24" s="121">
        <f>SUM(AI6:AI22)</f>
        <v>170000</v>
      </c>
      <c r="AJ24" s="121">
        <f>SUM(AJ6:AJ22)</f>
        <v>76753</v>
      </c>
      <c r="AK24" s="122">
        <f>AJ24/AI24</f>
        <v>0.45148823529411763</v>
      </c>
      <c r="AL24" s="119"/>
    </row>
    <row r="25" spans="1:38" s="116" customFormat="1" ht="28.5" customHeight="1">
      <c r="B25" s="124" t="s">
        <v>83</v>
      </c>
      <c r="C25" s="117">
        <v>3150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/>
      <c r="AH25" s="119"/>
      <c r="AI25" s="227">
        <f>AVERAGE(AI6:AI22)</f>
        <v>10000</v>
      </c>
      <c r="AJ25" s="227">
        <f>AVERAGE(AJ6:AJ22)</f>
        <v>4514.8823529411766</v>
      </c>
    </row>
    <row r="26" spans="1:38" s="116" customFormat="1" ht="15">
      <c r="B26" s="124" t="s">
        <v>72</v>
      </c>
      <c r="C26" s="123">
        <f>C27/C28</f>
        <v>0.25555555555555554</v>
      </c>
      <c r="D26" s="123">
        <f t="shared" ref="D26:AF26" si="6">D27/D28</f>
        <v>0.21699346405228756</v>
      </c>
      <c r="E26" s="123">
        <f t="shared" si="6"/>
        <v>0.23411764705882354</v>
      </c>
      <c r="F26" s="123">
        <f t="shared" si="6"/>
        <v>0.40732026143790845</v>
      </c>
      <c r="G26" s="123">
        <f>G27/G28</f>
        <v>0.43398692810457512</v>
      </c>
      <c r="H26" s="123">
        <f t="shared" si="6"/>
        <v>0.34875816993464054</v>
      </c>
      <c r="I26" s="123">
        <f t="shared" si="6"/>
        <v>0.32797385620915032</v>
      </c>
      <c r="J26" s="123">
        <f t="shared" si="6"/>
        <v>0.15934640522875818</v>
      </c>
      <c r="K26" s="123">
        <f t="shared" si="6"/>
        <v>0.26980392156862743</v>
      </c>
      <c r="L26" s="123">
        <f t="shared" si="6"/>
        <v>0.3138562091503268</v>
      </c>
      <c r="M26" s="123">
        <f t="shared" si="6"/>
        <v>0.50117647058823533</v>
      </c>
      <c r="N26" s="123">
        <f t="shared" si="6"/>
        <v>0.38366013071895427</v>
      </c>
      <c r="O26" s="123">
        <f t="shared" si="6"/>
        <v>0.19594771241830064</v>
      </c>
      <c r="P26" s="123">
        <f t="shared" si="6"/>
        <v>0.14392156862745098</v>
      </c>
      <c r="Q26" s="123">
        <f t="shared" si="6"/>
        <v>0.39986928104575165</v>
      </c>
      <c r="R26" s="123">
        <f t="shared" si="6"/>
        <v>0.39986928104575165</v>
      </c>
      <c r="S26" s="123">
        <f t="shared" si="6"/>
        <v>8.666666666666667E-2</v>
      </c>
      <c r="T26" s="123">
        <f t="shared" si="6"/>
        <v>0.40849673202614378</v>
      </c>
      <c r="U26" s="123">
        <f t="shared" si="6"/>
        <v>0.44248366013071899</v>
      </c>
      <c r="V26" s="123">
        <f t="shared" si="6"/>
        <v>0.26771241830065357</v>
      </c>
      <c r="W26" s="123">
        <f t="shared" si="6"/>
        <v>0.16705882352941176</v>
      </c>
      <c r="X26" s="123">
        <f t="shared" si="6"/>
        <v>0.3835294117647059</v>
      </c>
      <c r="Y26" s="123">
        <f t="shared" si="6"/>
        <v>0.38847222222222222</v>
      </c>
      <c r="Z26" s="123">
        <f t="shared" si="6"/>
        <v>0.20627450980392159</v>
      </c>
      <c r="AA26" s="123">
        <f t="shared" si="6"/>
        <v>0.35385620915032684</v>
      </c>
      <c r="AB26" s="123">
        <f t="shared" si="6"/>
        <v>0.36784313725490198</v>
      </c>
      <c r="AC26" s="123">
        <f t="shared" si="6"/>
        <v>0.29568627450980395</v>
      </c>
      <c r="AD26" s="123">
        <f t="shared" si="6"/>
        <v>0.30392156862745096</v>
      </c>
      <c r="AE26" s="123">
        <f t="shared" si="6"/>
        <v>0.37555555555555553</v>
      </c>
      <c r="AF26" s="123">
        <f t="shared" si="6"/>
        <v>0.34823529411764709</v>
      </c>
      <c r="AG26" s="123"/>
      <c r="AH26" s="119"/>
    </row>
    <row r="27" spans="1:38" s="116" customFormat="1" ht="15">
      <c r="B27" s="124" t="s">
        <v>75</v>
      </c>
      <c r="C27" s="118">
        <f>AVERAGE(C6:C22)</f>
        <v>115</v>
      </c>
      <c r="D27" s="118">
        <f t="shared" ref="D27:AF27" si="7">AVERAGE(D6:D22)</f>
        <v>97.647058823529406</v>
      </c>
      <c r="E27" s="118">
        <f t="shared" si="7"/>
        <v>105.35294117647059</v>
      </c>
      <c r="F27" s="118">
        <f t="shared" si="7"/>
        <v>183.29411764705881</v>
      </c>
      <c r="G27" s="118">
        <f>AVERAGE(G6:G22)</f>
        <v>195.29411764705881</v>
      </c>
      <c r="H27" s="118">
        <f t="shared" si="7"/>
        <v>156.94117647058823</v>
      </c>
      <c r="I27" s="118">
        <f t="shared" si="7"/>
        <v>147.58823529411765</v>
      </c>
      <c r="J27" s="118">
        <f t="shared" si="7"/>
        <v>71.705882352941174</v>
      </c>
      <c r="K27" s="118">
        <f t="shared" si="7"/>
        <v>121.41176470588235</v>
      </c>
      <c r="L27" s="118">
        <f t="shared" si="7"/>
        <v>141.23529411764707</v>
      </c>
      <c r="M27" s="118">
        <f t="shared" si="7"/>
        <v>225.52941176470588</v>
      </c>
      <c r="N27" s="118">
        <f t="shared" si="7"/>
        <v>172.64705882352942</v>
      </c>
      <c r="O27" s="118">
        <f t="shared" si="7"/>
        <v>88.17647058823529</v>
      </c>
      <c r="P27" s="118">
        <f t="shared" si="7"/>
        <v>64.764705882352942</v>
      </c>
      <c r="Q27" s="118">
        <f t="shared" si="7"/>
        <v>179.94117647058823</v>
      </c>
      <c r="R27" s="118">
        <f>AVERAGE(Q6:Q22)</f>
        <v>179.94117647058823</v>
      </c>
      <c r="S27" s="118">
        <f>AVERAGE(R6:R22)</f>
        <v>39</v>
      </c>
      <c r="T27" s="118">
        <f t="shared" si="7"/>
        <v>183.8235294117647</v>
      </c>
      <c r="U27" s="118">
        <f t="shared" si="7"/>
        <v>199.11764705882354</v>
      </c>
      <c r="V27" s="118">
        <f t="shared" si="7"/>
        <v>120.47058823529412</v>
      </c>
      <c r="W27" s="118">
        <f t="shared" si="7"/>
        <v>75.17647058823529</v>
      </c>
      <c r="X27" s="118">
        <f t="shared" si="7"/>
        <v>172.58823529411765</v>
      </c>
      <c r="Y27" s="118">
        <f>AVERAGE(Y6:Y21)</f>
        <v>174.8125</v>
      </c>
      <c r="Z27" s="118">
        <f t="shared" si="7"/>
        <v>92.82352941176471</v>
      </c>
      <c r="AA27" s="118">
        <f t="shared" si="7"/>
        <v>159.23529411764707</v>
      </c>
      <c r="AB27" s="118">
        <f t="shared" si="7"/>
        <v>165.52941176470588</v>
      </c>
      <c r="AC27" s="118">
        <f t="shared" si="7"/>
        <v>133.05882352941177</v>
      </c>
      <c r="AD27" s="118">
        <f t="shared" si="7"/>
        <v>136.76470588235293</v>
      </c>
      <c r="AE27" s="118">
        <f t="shared" si="7"/>
        <v>169</v>
      </c>
      <c r="AF27" s="118">
        <f t="shared" si="7"/>
        <v>156.70588235294119</v>
      </c>
      <c r="AG27" s="158"/>
      <c r="AH27" s="126"/>
    </row>
    <row r="28" spans="1:38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59"/>
    </row>
  </sheetData>
  <mergeCells count="1">
    <mergeCell ref="C1:AF1"/>
  </mergeCells>
  <conditionalFormatting sqref="A8">
    <cfRule type="duplicateValues" dxfId="57" priority="6"/>
  </conditionalFormatting>
  <conditionalFormatting sqref="A10:A11 A7">
    <cfRule type="duplicateValues" dxfId="56" priority="7"/>
  </conditionalFormatting>
  <conditionalFormatting sqref="A13">
    <cfRule type="duplicateValues" dxfId="55" priority="4"/>
  </conditionalFormatting>
  <conditionalFormatting sqref="A14">
    <cfRule type="duplicateValues" dxfId="54" priority="5"/>
  </conditionalFormatting>
  <conditionalFormatting sqref="A16:A17 A12">
    <cfRule type="duplicateValues" dxfId="53" priority="10"/>
  </conditionalFormatting>
  <conditionalFormatting sqref="A22 A15 A9 A3:A6">
    <cfRule type="duplicateValues" dxfId="52" priority="9"/>
  </conditionalFormatting>
  <conditionalFormatting sqref="A23 A18:A20">
    <cfRule type="duplicateValues" dxfId="51" priority="8"/>
  </conditionalFormatting>
  <conditionalFormatting sqref="C3:AG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L3:AL23">
    <cfRule type="cellIs" dxfId="50" priority="2" operator="lessThan">
      <formula>0</formula>
    </cfRule>
    <cfRule type="cellIs" dxfId="49" priority="3" operator="greaterThan">
      <formula>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00F0-FF13-4FE6-9FC9-23BF3FCFD74F}">
  <dimension ref="A1:AL28"/>
  <sheetViews>
    <sheetView zoomScale="51" zoomScaleNormal="51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J3" sqref="AJ3:AJ23"/>
    </sheetView>
  </sheetViews>
  <sheetFormatPr defaultRowHeight="14.5"/>
  <cols>
    <col min="1" max="1" width="16" customWidth="1"/>
    <col min="2" max="2" width="39.36328125" customWidth="1"/>
    <col min="3" max="33" width="12" customWidth="1"/>
    <col min="34" max="34" width="10.6328125" bestFit="1" customWidth="1"/>
    <col min="35" max="35" width="16.08984375" bestFit="1" customWidth="1"/>
    <col min="36" max="36" width="18.6328125" bestFit="1" customWidth="1"/>
    <col min="37" max="37" width="13.36328125" customWidth="1"/>
    <col min="38" max="38" width="13" customWidth="1"/>
  </cols>
  <sheetData>
    <row r="1" spans="1:38" ht="35.25" customHeight="1">
      <c r="B1" s="127" t="s">
        <v>143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157"/>
    </row>
    <row r="2" spans="1:38" ht="73.5" customHeight="1">
      <c r="A2" s="60" t="s">
        <v>4</v>
      </c>
      <c r="B2" s="61" t="s">
        <v>5</v>
      </c>
      <c r="C2" s="100">
        <v>45108</v>
      </c>
      <c r="D2" s="100">
        <v>45109</v>
      </c>
      <c r="E2" s="100">
        <v>45110</v>
      </c>
      <c r="F2" s="100">
        <v>45111</v>
      </c>
      <c r="G2" s="100">
        <v>45112</v>
      </c>
      <c r="H2" s="100">
        <v>45113</v>
      </c>
      <c r="I2" s="100">
        <v>45114</v>
      </c>
      <c r="J2" s="100">
        <v>45115</v>
      </c>
      <c r="K2" s="100">
        <v>45116</v>
      </c>
      <c r="L2" s="100">
        <v>45117</v>
      </c>
      <c r="M2" s="100">
        <v>45118</v>
      </c>
      <c r="N2" s="100">
        <v>45119</v>
      </c>
      <c r="O2" s="100">
        <v>45120</v>
      </c>
      <c r="P2" s="100">
        <v>45121</v>
      </c>
      <c r="Q2" s="100">
        <v>45122</v>
      </c>
      <c r="R2" s="100">
        <v>45123</v>
      </c>
      <c r="S2" s="100">
        <v>45124</v>
      </c>
      <c r="T2" s="100">
        <v>45125</v>
      </c>
      <c r="U2" s="100">
        <v>45126</v>
      </c>
      <c r="V2" s="100">
        <v>45127</v>
      </c>
      <c r="W2" s="100">
        <v>45128</v>
      </c>
      <c r="X2" s="100">
        <v>45129</v>
      </c>
      <c r="Y2" s="100">
        <v>45130</v>
      </c>
      <c r="Z2" s="100">
        <v>45131</v>
      </c>
      <c r="AA2" s="100">
        <v>45132</v>
      </c>
      <c r="AB2" s="100">
        <v>45133</v>
      </c>
      <c r="AC2" s="100">
        <v>45134</v>
      </c>
      <c r="AD2" s="100">
        <v>45135</v>
      </c>
      <c r="AE2" s="100">
        <v>45136</v>
      </c>
      <c r="AF2" s="100">
        <v>45137</v>
      </c>
      <c r="AG2" s="100">
        <v>45138</v>
      </c>
      <c r="AH2" s="101" t="s">
        <v>79</v>
      </c>
      <c r="AI2" s="106" t="s">
        <v>18</v>
      </c>
      <c r="AJ2" s="125" t="s">
        <v>77</v>
      </c>
      <c r="AK2" s="107" t="s">
        <v>20</v>
      </c>
      <c r="AL2" s="108" t="s">
        <v>78</v>
      </c>
    </row>
    <row r="3" spans="1:38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10">
        <f t="shared" ref="AH3:AH23" si="0">AVERAGE(C3:AF3)</f>
        <v>0</v>
      </c>
      <c r="AI3" s="111">
        <v>10000</v>
      </c>
      <c r="AJ3" s="111">
        <f>SUM(C3:AG3)</f>
        <v>0</v>
      </c>
      <c r="AK3" s="112">
        <f>AJ3/AI3</f>
        <v>0</v>
      </c>
      <c r="AL3" s="113">
        <f>AI3-AJ3</f>
        <v>10000</v>
      </c>
    </row>
    <row r="4" spans="1:38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10">
        <f t="shared" si="0"/>
        <v>0</v>
      </c>
      <c r="AI4" s="111">
        <v>10000</v>
      </c>
      <c r="AJ4" s="111">
        <f t="shared" ref="AJ4:AJ23" si="1">SUM(C4:AG4)</f>
        <v>0</v>
      </c>
      <c r="AK4" s="112">
        <f t="shared" ref="AK4:AK22" si="2">AJ4/AI4</f>
        <v>0</v>
      </c>
      <c r="AL4" s="113">
        <f t="shared" ref="AL4:AL22" si="3">AI4-AJ4</f>
        <v>10000</v>
      </c>
    </row>
    <row r="5" spans="1:38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10">
        <f t="shared" si="0"/>
        <v>0</v>
      </c>
      <c r="AI5" s="111">
        <v>10000</v>
      </c>
      <c r="AJ5" s="111">
        <f t="shared" si="1"/>
        <v>0</v>
      </c>
      <c r="AK5" s="112">
        <f t="shared" si="2"/>
        <v>0</v>
      </c>
      <c r="AL5" s="113">
        <f t="shared" si="3"/>
        <v>10000</v>
      </c>
    </row>
    <row r="6" spans="1:38" ht="20">
      <c r="A6" s="99" t="s">
        <v>33</v>
      </c>
      <c r="B6" s="98" t="s">
        <v>34</v>
      </c>
      <c r="C6" s="103">
        <v>11</v>
      </c>
      <c r="D6" s="103">
        <v>0</v>
      </c>
      <c r="E6" s="103">
        <v>0</v>
      </c>
      <c r="F6" s="103">
        <v>3</v>
      </c>
      <c r="G6" s="103">
        <v>4</v>
      </c>
      <c r="H6" s="103">
        <v>0</v>
      </c>
      <c r="I6" s="103">
        <v>0</v>
      </c>
      <c r="J6" s="103">
        <v>0</v>
      </c>
      <c r="K6" s="103">
        <v>0</v>
      </c>
      <c r="L6" s="103">
        <v>8</v>
      </c>
      <c r="M6" s="103">
        <v>0</v>
      </c>
      <c r="N6" s="103">
        <v>0</v>
      </c>
      <c r="O6" s="103">
        <v>10</v>
      </c>
      <c r="P6" s="103">
        <v>511</v>
      </c>
      <c r="Q6" s="103">
        <v>282</v>
      </c>
      <c r="R6" s="103">
        <v>122</v>
      </c>
      <c r="S6" s="103">
        <v>2</v>
      </c>
      <c r="T6" s="103">
        <v>5</v>
      </c>
      <c r="U6" s="103">
        <v>203</v>
      </c>
      <c r="V6" s="103">
        <v>0</v>
      </c>
      <c r="W6" s="103">
        <v>37</v>
      </c>
      <c r="X6" s="103">
        <v>150</v>
      </c>
      <c r="Y6" s="103">
        <v>76</v>
      </c>
      <c r="Z6" s="103">
        <v>132</v>
      </c>
      <c r="AA6" s="103">
        <v>62</v>
      </c>
      <c r="AB6" s="103">
        <v>257</v>
      </c>
      <c r="AC6" s="103">
        <v>332</v>
      </c>
      <c r="AD6" s="103">
        <v>142</v>
      </c>
      <c r="AE6" s="103">
        <v>0</v>
      </c>
      <c r="AF6" s="103">
        <v>0</v>
      </c>
      <c r="AG6" s="103">
        <v>0</v>
      </c>
      <c r="AH6" s="110">
        <f t="shared" si="0"/>
        <v>78.3</v>
      </c>
      <c r="AI6" s="111">
        <v>10000</v>
      </c>
      <c r="AJ6" s="111">
        <f>SUM(C6:AG6)</f>
        <v>2349</v>
      </c>
      <c r="AK6" s="112">
        <f>AJ6/AI6</f>
        <v>0.2349</v>
      </c>
      <c r="AL6" s="113">
        <f t="shared" si="3"/>
        <v>7651</v>
      </c>
    </row>
    <row r="7" spans="1:38" ht="20">
      <c r="A7" s="99" t="s">
        <v>35</v>
      </c>
      <c r="B7" s="98" t="s">
        <v>36</v>
      </c>
      <c r="C7" s="103">
        <v>0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5</v>
      </c>
      <c r="K7" s="103">
        <v>0</v>
      </c>
      <c r="L7" s="103">
        <v>13</v>
      </c>
      <c r="M7" s="103">
        <v>452</v>
      </c>
      <c r="N7" s="103">
        <v>146</v>
      </c>
      <c r="O7" s="103">
        <v>130</v>
      </c>
      <c r="P7" s="103">
        <v>184</v>
      </c>
      <c r="Q7" s="103">
        <v>0</v>
      </c>
      <c r="R7" s="103">
        <v>0</v>
      </c>
      <c r="S7" s="103">
        <v>136</v>
      </c>
      <c r="T7" s="103">
        <v>357</v>
      </c>
      <c r="U7" s="103">
        <v>208</v>
      </c>
      <c r="V7" s="103">
        <v>429</v>
      </c>
      <c r="W7" s="103">
        <v>258</v>
      </c>
      <c r="X7" s="103">
        <v>15</v>
      </c>
      <c r="Y7" s="103">
        <v>25</v>
      </c>
      <c r="Z7" s="103">
        <v>16</v>
      </c>
      <c r="AA7" s="103">
        <v>215</v>
      </c>
      <c r="AB7" s="103">
        <v>409</v>
      </c>
      <c r="AC7" s="103">
        <v>0</v>
      </c>
      <c r="AD7" s="103">
        <v>67</v>
      </c>
      <c r="AE7" s="103">
        <v>207</v>
      </c>
      <c r="AF7" s="103">
        <v>347</v>
      </c>
      <c r="AG7" s="103">
        <v>76</v>
      </c>
      <c r="AH7" s="110">
        <f t="shared" si="0"/>
        <v>120.63333333333334</v>
      </c>
      <c r="AI7" s="111">
        <v>10000</v>
      </c>
      <c r="AJ7" s="111">
        <f t="shared" ref="AJ7:AJ22" si="4">SUM(C7:AG7)</f>
        <v>3695</v>
      </c>
      <c r="AK7" s="112">
        <f t="shared" si="2"/>
        <v>0.3695</v>
      </c>
      <c r="AL7" s="113">
        <f t="shared" si="3"/>
        <v>6305</v>
      </c>
    </row>
    <row r="8" spans="1:38" ht="20">
      <c r="A8" s="99" t="s">
        <v>37</v>
      </c>
      <c r="B8" s="98" t="s">
        <v>73</v>
      </c>
      <c r="C8" s="103">
        <v>0</v>
      </c>
      <c r="D8" s="103">
        <v>0</v>
      </c>
      <c r="E8" s="103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1</v>
      </c>
      <c r="W8" s="103">
        <v>0</v>
      </c>
      <c r="X8" s="103">
        <v>0</v>
      </c>
      <c r="Y8" s="103">
        <v>0</v>
      </c>
      <c r="Z8" s="103">
        <v>0</v>
      </c>
      <c r="AA8" s="103">
        <v>0</v>
      </c>
      <c r="AB8" s="103">
        <v>0</v>
      </c>
      <c r="AC8" s="103">
        <v>0</v>
      </c>
      <c r="AD8" s="103">
        <v>0</v>
      </c>
      <c r="AE8" s="103">
        <v>0</v>
      </c>
      <c r="AF8" s="103">
        <v>0</v>
      </c>
      <c r="AG8" s="103">
        <v>0</v>
      </c>
      <c r="AH8" s="110">
        <f t="shared" si="0"/>
        <v>3.3333333333333333E-2</v>
      </c>
      <c r="AI8" s="111">
        <v>10000</v>
      </c>
      <c r="AJ8" s="111">
        <f t="shared" si="4"/>
        <v>1</v>
      </c>
      <c r="AK8" s="112">
        <f t="shared" si="2"/>
        <v>1E-4</v>
      </c>
      <c r="AL8" s="113">
        <f t="shared" si="3"/>
        <v>9999</v>
      </c>
    </row>
    <row r="9" spans="1:38" ht="20">
      <c r="A9" s="99" t="s">
        <v>38</v>
      </c>
      <c r="B9" s="98" t="s">
        <v>39</v>
      </c>
      <c r="C9" s="103">
        <v>52</v>
      </c>
      <c r="D9" s="103">
        <v>104</v>
      </c>
      <c r="E9" s="103">
        <v>408</v>
      </c>
      <c r="F9" s="103">
        <v>309</v>
      </c>
      <c r="G9" s="103">
        <v>337</v>
      </c>
      <c r="H9" s="103">
        <v>147</v>
      </c>
      <c r="I9" s="103">
        <v>135</v>
      </c>
      <c r="J9" s="103">
        <v>86</v>
      </c>
      <c r="K9" s="103">
        <v>366</v>
      </c>
      <c r="L9" s="103">
        <v>607</v>
      </c>
      <c r="M9" s="103">
        <v>246</v>
      </c>
      <c r="N9" s="103">
        <v>0</v>
      </c>
      <c r="O9" s="103">
        <v>1</v>
      </c>
      <c r="P9" s="103">
        <v>0</v>
      </c>
      <c r="Q9" s="103">
        <v>0</v>
      </c>
      <c r="R9" s="103">
        <v>71</v>
      </c>
      <c r="S9" s="103">
        <v>0</v>
      </c>
      <c r="T9" s="103">
        <v>0</v>
      </c>
      <c r="U9" s="103">
        <v>0</v>
      </c>
      <c r="V9" s="103">
        <v>79</v>
      </c>
      <c r="W9" s="103">
        <v>367</v>
      </c>
      <c r="X9" s="103">
        <v>425</v>
      </c>
      <c r="Y9" s="103">
        <v>279</v>
      </c>
      <c r="Z9" s="103">
        <v>0</v>
      </c>
      <c r="AA9" s="103">
        <v>0</v>
      </c>
      <c r="AB9" s="103">
        <v>0</v>
      </c>
      <c r="AC9" s="103">
        <v>0</v>
      </c>
      <c r="AD9" s="103">
        <v>1</v>
      </c>
      <c r="AE9" s="103">
        <v>27</v>
      </c>
      <c r="AF9" s="103">
        <v>196</v>
      </c>
      <c r="AG9" s="103">
        <v>0</v>
      </c>
      <c r="AH9" s="110">
        <f t="shared" si="0"/>
        <v>141.43333333333334</v>
      </c>
      <c r="AI9" s="111">
        <v>10000</v>
      </c>
      <c r="AJ9" s="111">
        <f t="shared" si="4"/>
        <v>4243</v>
      </c>
      <c r="AK9" s="112">
        <f t="shared" si="2"/>
        <v>0.42430000000000001</v>
      </c>
      <c r="AL9" s="113">
        <f t="shared" si="3"/>
        <v>5757</v>
      </c>
    </row>
    <row r="10" spans="1:38" ht="20">
      <c r="A10" s="200" t="s">
        <v>40</v>
      </c>
      <c r="B10" s="98" t="s">
        <v>68</v>
      </c>
      <c r="C10" s="105" t="s">
        <v>130</v>
      </c>
      <c r="D10" s="105" t="s">
        <v>130</v>
      </c>
      <c r="E10" s="105" t="s">
        <v>130</v>
      </c>
      <c r="F10" s="105" t="s">
        <v>130</v>
      </c>
      <c r="G10" s="105" t="s">
        <v>130</v>
      </c>
      <c r="H10" s="105" t="s">
        <v>130</v>
      </c>
      <c r="I10" s="105" t="s">
        <v>130</v>
      </c>
      <c r="J10" s="105" t="s">
        <v>130</v>
      </c>
      <c r="K10" s="105" t="s">
        <v>130</v>
      </c>
      <c r="L10" s="105" t="s">
        <v>130</v>
      </c>
      <c r="M10" s="105" t="s">
        <v>130</v>
      </c>
      <c r="N10" s="105" t="s">
        <v>130</v>
      </c>
      <c r="O10" s="105" t="s">
        <v>130</v>
      </c>
      <c r="P10" s="105" t="s">
        <v>130</v>
      </c>
      <c r="Q10" s="105" t="s">
        <v>130</v>
      </c>
      <c r="R10" s="105" t="s">
        <v>130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186</v>
      </c>
      <c r="Y10" s="103">
        <v>36</v>
      </c>
      <c r="Z10" s="103">
        <v>168</v>
      </c>
      <c r="AA10" s="103">
        <v>413</v>
      </c>
      <c r="AB10" s="103">
        <v>0</v>
      </c>
      <c r="AC10" s="103">
        <v>0</v>
      </c>
      <c r="AD10" s="103">
        <v>0</v>
      </c>
      <c r="AE10" s="103">
        <v>196</v>
      </c>
      <c r="AF10" s="103">
        <v>430</v>
      </c>
      <c r="AG10" s="103">
        <v>0</v>
      </c>
      <c r="AH10" s="110">
        <f t="shared" si="0"/>
        <v>102.07142857142857</v>
      </c>
      <c r="AI10" s="111">
        <v>10000</v>
      </c>
      <c r="AJ10" s="111">
        <f t="shared" si="4"/>
        <v>1429</v>
      </c>
      <c r="AK10" s="112">
        <f t="shared" si="2"/>
        <v>0.1429</v>
      </c>
      <c r="AL10" s="201">
        <f>AI10-AJ10</f>
        <v>8571</v>
      </c>
    </row>
    <row r="11" spans="1:38" ht="20">
      <c r="A11" s="200" t="s">
        <v>41</v>
      </c>
      <c r="B11" s="98" t="s">
        <v>42</v>
      </c>
      <c r="C11" s="104">
        <v>124</v>
      </c>
      <c r="D11" s="104">
        <v>455</v>
      </c>
      <c r="E11" s="104">
        <v>93</v>
      </c>
      <c r="F11" s="104">
        <v>1</v>
      </c>
      <c r="G11" s="104">
        <v>51</v>
      </c>
      <c r="H11" s="104">
        <v>83</v>
      </c>
      <c r="I11" s="104">
        <v>220</v>
      </c>
      <c r="J11" s="104">
        <v>213</v>
      </c>
      <c r="K11" s="104">
        <v>621</v>
      </c>
      <c r="L11" s="104">
        <v>1</v>
      </c>
      <c r="M11" s="104">
        <v>75</v>
      </c>
      <c r="N11" s="104">
        <v>52</v>
      </c>
      <c r="O11" s="104">
        <v>527</v>
      </c>
      <c r="P11" s="103">
        <v>592</v>
      </c>
      <c r="Q11" s="103">
        <v>4</v>
      </c>
      <c r="R11" s="103">
        <v>70</v>
      </c>
      <c r="S11" s="103">
        <v>0</v>
      </c>
      <c r="T11" s="103">
        <v>1</v>
      </c>
      <c r="U11" s="103">
        <v>1</v>
      </c>
      <c r="V11" s="103">
        <v>77</v>
      </c>
      <c r="W11" s="103">
        <v>357</v>
      </c>
      <c r="X11" s="103">
        <v>410</v>
      </c>
      <c r="Y11" s="103">
        <v>275</v>
      </c>
      <c r="Z11" s="103">
        <v>0</v>
      </c>
      <c r="AA11" s="103">
        <v>1</v>
      </c>
      <c r="AB11" s="103">
        <v>1</v>
      </c>
      <c r="AC11" s="103">
        <v>1</v>
      </c>
      <c r="AD11" s="103">
        <v>2</v>
      </c>
      <c r="AE11" s="103">
        <v>75</v>
      </c>
      <c r="AF11" s="103">
        <v>151</v>
      </c>
      <c r="AG11" s="103">
        <v>3</v>
      </c>
      <c r="AH11" s="110">
        <v>194</v>
      </c>
      <c r="AI11" s="111">
        <v>10000</v>
      </c>
      <c r="AJ11" s="111">
        <f t="shared" si="4"/>
        <v>4537</v>
      </c>
      <c r="AK11" s="112">
        <v>0.43</v>
      </c>
      <c r="AL11" s="201">
        <v>3334</v>
      </c>
    </row>
    <row r="12" spans="1:38" ht="20">
      <c r="A12" s="99" t="s">
        <v>43</v>
      </c>
      <c r="B12" s="98" t="s">
        <v>44</v>
      </c>
      <c r="C12" s="103">
        <v>1</v>
      </c>
      <c r="D12" s="103">
        <v>1</v>
      </c>
      <c r="E12" s="103">
        <v>0</v>
      </c>
      <c r="F12" s="103">
        <v>37</v>
      </c>
      <c r="G12" s="103">
        <v>3</v>
      </c>
      <c r="H12" s="103">
        <v>14</v>
      </c>
      <c r="I12" s="103">
        <v>52</v>
      </c>
      <c r="J12" s="103">
        <v>85</v>
      </c>
      <c r="K12" s="103">
        <v>0</v>
      </c>
      <c r="L12" s="103">
        <v>220</v>
      </c>
      <c r="M12" s="103">
        <v>210</v>
      </c>
      <c r="N12" s="103">
        <v>29</v>
      </c>
      <c r="O12" s="103">
        <v>259</v>
      </c>
      <c r="P12" s="103">
        <v>328</v>
      </c>
      <c r="Q12" s="103">
        <v>0</v>
      </c>
      <c r="R12" s="103">
        <v>0</v>
      </c>
      <c r="S12" s="103">
        <v>50</v>
      </c>
      <c r="T12" s="103">
        <v>197</v>
      </c>
      <c r="U12" s="103">
        <v>526</v>
      </c>
      <c r="V12" s="103">
        <v>453</v>
      </c>
      <c r="W12" s="103">
        <v>1</v>
      </c>
      <c r="X12" s="103">
        <v>2</v>
      </c>
      <c r="Y12" s="103">
        <v>393</v>
      </c>
      <c r="Z12" s="103">
        <v>0</v>
      </c>
      <c r="AA12" s="103">
        <v>475</v>
      </c>
      <c r="AB12" s="103">
        <v>294</v>
      </c>
      <c r="AC12" s="103">
        <v>0</v>
      </c>
      <c r="AD12" s="103">
        <v>1</v>
      </c>
      <c r="AE12" s="103">
        <v>27</v>
      </c>
      <c r="AF12" s="103">
        <v>193</v>
      </c>
      <c r="AG12" s="103">
        <v>0</v>
      </c>
      <c r="AH12" s="110">
        <f t="shared" si="0"/>
        <v>128.36666666666667</v>
      </c>
      <c r="AI12" s="111">
        <v>10000</v>
      </c>
      <c r="AJ12" s="111">
        <f t="shared" si="4"/>
        <v>3851</v>
      </c>
      <c r="AK12" s="112">
        <f t="shared" si="2"/>
        <v>0.3851</v>
      </c>
      <c r="AL12" s="113">
        <f t="shared" si="3"/>
        <v>6149</v>
      </c>
    </row>
    <row r="13" spans="1:38" ht="20">
      <c r="A13" s="99" t="s">
        <v>45</v>
      </c>
      <c r="B13" s="98" t="s">
        <v>46</v>
      </c>
      <c r="C13" s="103">
        <v>0</v>
      </c>
      <c r="D13" s="103">
        <v>0</v>
      </c>
      <c r="E13" s="103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1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  <c r="AA13" s="103">
        <v>0</v>
      </c>
      <c r="AB13" s="103">
        <v>0</v>
      </c>
      <c r="AC13" s="103">
        <v>0</v>
      </c>
      <c r="AD13" s="103">
        <v>0</v>
      </c>
      <c r="AE13" s="103">
        <v>88</v>
      </c>
      <c r="AF13" s="103">
        <v>65</v>
      </c>
      <c r="AG13" s="103">
        <v>3</v>
      </c>
      <c r="AH13" s="110">
        <f t="shared" si="0"/>
        <v>5.1333333333333337</v>
      </c>
      <c r="AI13" s="111">
        <v>10000</v>
      </c>
      <c r="AJ13" s="111">
        <f t="shared" si="4"/>
        <v>157</v>
      </c>
      <c r="AK13" s="112">
        <f t="shared" si="2"/>
        <v>1.5699999999999999E-2</v>
      </c>
      <c r="AL13" s="113">
        <f t="shared" si="3"/>
        <v>9843</v>
      </c>
    </row>
    <row r="14" spans="1:38" ht="20">
      <c r="A14" s="99" t="s">
        <v>47</v>
      </c>
      <c r="B14" s="98" t="s">
        <v>48</v>
      </c>
      <c r="C14" s="103">
        <v>3</v>
      </c>
      <c r="D14" s="103">
        <v>0</v>
      </c>
      <c r="E14" s="103">
        <v>0</v>
      </c>
      <c r="F14" s="103">
        <v>0</v>
      </c>
      <c r="G14" s="103">
        <v>53</v>
      </c>
      <c r="H14" s="103">
        <v>86</v>
      </c>
      <c r="I14" s="103">
        <v>369</v>
      </c>
      <c r="J14" s="103">
        <v>325</v>
      </c>
      <c r="K14" s="103">
        <v>13</v>
      </c>
      <c r="L14" s="103">
        <v>14</v>
      </c>
      <c r="M14" s="103">
        <v>329</v>
      </c>
      <c r="N14" s="103">
        <v>120</v>
      </c>
      <c r="O14" s="103">
        <v>97</v>
      </c>
      <c r="P14" s="103">
        <v>383</v>
      </c>
      <c r="Q14" s="103">
        <v>276</v>
      </c>
      <c r="R14" s="103">
        <v>0</v>
      </c>
      <c r="S14" s="103">
        <v>1</v>
      </c>
      <c r="T14" s="103">
        <v>74</v>
      </c>
      <c r="U14" s="103">
        <v>189</v>
      </c>
      <c r="V14" s="103">
        <v>637</v>
      </c>
      <c r="W14" s="103">
        <v>389</v>
      </c>
      <c r="X14" s="103">
        <v>4</v>
      </c>
      <c r="Y14" s="103">
        <v>404</v>
      </c>
      <c r="Z14" s="103">
        <v>0</v>
      </c>
      <c r="AA14" s="103">
        <v>507</v>
      </c>
      <c r="AB14" s="103">
        <v>304</v>
      </c>
      <c r="AC14" s="103">
        <v>0</v>
      </c>
      <c r="AD14" s="103">
        <v>1</v>
      </c>
      <c r="AE14" s="103">
        <v>75</v>
      </c>
      <c r="AF14" s="103">
        <v>148</v>
      </c>
      <c r="AG14" s="103">
        <v>0</v>
      </c>
      <c r="AH14" s="110">
        <f t="shared" si="0"/>
        <v>160.03333333333333</v>
      </c>
      <c r="AI14" s="111">
        <v>10000</v>
      </c>
      <c r="AJ14" s="111">
        <f t="shared" si="4"/>
        <v>4801</v>
      </c>
      <c r="AK14" s="112">
        <f t="shared" si="2"/>
        <v>0.48010000000000003</v>
      </c>
      <c r="AL14" s="113">
        <f t="shared" si="3"/>
        <v>5199</v>
      </c>
    </row>
    <row r="15" spans="1:38" ht="20">
      <c r="A15" s="99" t="s">
        <v>49</v>
      </c>
      <c r="B15" s="98" t="s">
        <v>50</v>
      </c>
      <c r="C15" s="103">
        <v>217</v>
      </c>
      <c r="D15" s="103">
        <v>0</v>
      </c>
      <c r="E15" s="103">
        <v>122</v>
      </c>
      <c r="F15" s="103">
        <v>0</v>
      </c>
      <c r="G15" s="103">
        <v>136</v>
      </c>
      <c r="H15" s="103">
        <v>24</v>
      </c>
      <c r="I15" s="103">
        <v>323</v>
      </c>
      <c r="J15" s="103">
        <v>262</v>
      </c>
      <c r="K15" s="103">
        <v>79</v>
      </c>
      <c r="L15" s="103">
        <v>3</v>
      </c>
      <c r="M15" s="103">
        <v>1</v>
      </c>
      <c r="N15" s="103">
        <v>14</v>
      </c>
      <c r="O15" s="103">
        <v>113</v>
      </c>
      <c r="P15" s="103">
        <v>57</v>
      </c>
      <c r="Q15" s="103">
        <v>0</v>
      </c>
      <c r="R15" s="103">
        <v>0</v>
      </c>
      <c r="S15" s="103">
        <v>248</v>
      </c>
      <c r="T15" s="103">
        <v>89</v>
      </c>
      <c r="U15" s="103">
        <v>0</v>
      </c>
      <c r="V15" s="103">
        <v>2</v>
      </c>
      <c r="W15" s="103">
        <v>47</v>
      </c>
      <c r="X15" s="103">
        <v>0</v>
      </c>
      <c r="Y15" s="103">
        <v>0</v>
      </c>
      <c r="Z15" s="103">
        <v>58</v>
      </c>
      <c r="AA15" s="103">
        <v>1</v>
      </c>
      <c r="AB15" s="103">
        <v>0</v>
      </c>
      <c r="AC15" s="103">
        <v>2</v>
      </c>
      <c r="AD15" s="103">
        <v>384</v>
      </c>
      <c r="AE15" s="103">
        <v>10</v>
      </c>
      <c r="AF15" s="103">
        <v>412</v>
      </c>
      <c r="AG15" s="103">
        <v>108</v>
      </c>
      <c r="AH15" s="110">
        <f t="shared" si="0"/>
        <v>86.8</v>
      </c>
      <c r="AI15" s="111">
        <v>10000</v>
      </c>
      <c r="AJ15" s="111">
        <v>4192</v>
      </c>
      <c r="AK15" s="112">
        <f t="shared" si="2"/>
        <v>0.41920000000000002</v>
      </c>
      <c r="AL15" s="113">
        <f t="shared" si="3"/>
        <v>5808</v>
      </c>
    </row>
    <row r="16" spans="1:38" ht="20">
      <c r="A16" s="99" t="s">
        <v>51</v>
      </c>
      <c r="B16" s="98" t="s">
        <v>52</v>
      </c>
      <c r="C16" s="103">
        <v>219</v>
      </c>
      <c r="D16" s="103">
        <v>1</v>
      </c>
      <c r="E16" s="103">
        <v>134</v>
      </c>
      <c r="F16" s="103">
        <v>1</v>
      </c>
      <c r="G16" s="103">
        <v>127</v>
      </c>
      <c r="H16" s="103">
        <v>23</v>
      </c>
      <c r="I16" s="103">
        <v>320</v>
      </c>
      <c r="J16" s="103">
        <v>264</v>
      </c>
      <c r="K16" s="103">
        <v>76</v>
      </c>
      <c r="L16" s="103">
        <v>2</v>
      </c>
      <c r="M16" s="103">
        <v>0</v>
      </c>
      <c r="N16" s="103">
        <v>13</v>
      </c>
      <c r="O16" s="103">
        <v>194</v>
      </c>
      <c r="P16" s="103">
        <v>164</v>
      </c>
      <c r="Q16" s="103">
        <v>196</v>
      </c>
      <c r="R16" s="103">
        <v>288</v>
      </c>
      <c r="S16" s="103">
        <v>287</v>
      </c>
      <c r="T16" s="103">
        <v>50</v>
      </c>
      <c r="U16" s="103">
        <v>0</v>
      </c>
      <c r="V16" s="103">
        <v>2</v>
      </c>
      <c r="W16" s="103">
        <v>73</v>
      </c>
      <c r="X16" s="103">
        <v>397</v>
      </c>
      <c r="Y16" s="103">
        <v>590</v>
      </c>
      <c r="Z16" s="103">
        <v>176</v>
      </c>
      <c r="AA16" s="103">
        <v>2</v>
      </c>
      <c r="AB16" s="103">
        <v>1</v>
      </c>
      <c r="AC16" s="103">
        <v>3</v>
      </c>
      <c r="AD16" s="103">
        <v>401</v>
      </c>
      <c r="AE16" s="103">
        <v>79</v>
      </c>
      <c r="AF16" s="103">
        <v>440</v>
      </c>
      <c r="AG16" s="103">
        <v>302</v>
      </c>
      <c r="AH16" s="110">
        <f t="shared" si="0"/>
        <v>150.76666666666668</v>
      </c>
      <c r="AI16" s="111">
        <v>10000</v>
      </c>
      <c r="AJ16" s="111">
        <f t="shared" si="4"/>
        <v>4825</v>
      </c>
      <c r="AK16" s="112">
        <f t="shared" si="2"/>
        <v>0.48249999999999998</v>
      </c>
      <c r="AL16" s="113">
        <f t="shared" si="3"/>
        <v>5175</v>
      </c>
    </row>
    <row r="17" spans="1:38" ht="20">
      <c r="A17" s="109" t="s">
        <v>53</v>
      </c>
      <c r="B17" s="98" t="s">
        <v>54</v>
      </c>
      <c r="C17" s="103">
        <v>215</v>
      </c>
      <c r="D17" s="103">
        <v>0</v>
      </c>
      <c r="E17" s="103">
        <v>129</v>
      </c>
      <c r="F17" s="103">
        <v>0</v>
      </c>
      <c r="G17" s="103">
        <v>126</v>
      </c>
      <c r="H17" s="103">
        <v>23</v>
      </c>
      <c r="I17" s="103">
        <v>322</v>
      </c>
      <c r="J17" s="103">
        <v>337</v>
      </c>
      <c r="K17" s="103">
        <v>11</v>
      </c>
      <c r="L17" s="103">
        <v>14</v>
      </c>
      <c r="M17" s="103">
        <v>158</v>
      </c>
      <c r="N17" s="103">
        <v>1</v>
      </c>
      <c r="O17" s="103">
        <v>139</v>
      </c>
      <c r="P17" s="103">
        <v>123</v>
      </c>
      <c r="Q17" s="103">
        <v>162</v>
      </c>
      <c r="R17" s="103">
        <v>245</v>
      </c>
      <c r="S17" s="103">
        <v>0</v>
      </c>
      <c r="T17" s="103">
        <v>0</v>
      </c>
      <c r="U17" s="103">
        <v>0</v>
      </c>
      <c r="V17" s="103">
        <v>2</v>
      </c>
      <c r="W17" s="103">
        <v>121</v>
      </c>
      <c r="X17" s="103">
        <v>529</v>
      </c>
      <c r="Y17" s="103">
        <v>415</v>
      </c>
      <c r="Z17" s="103">
        <v>180</v>
      </c>
      <c r="AA17" s="103">
        <v>1</v>
      </c>
      <c r="AB17" s="103">
        <v>0</v>
      </c>
      <c r="AC17" s="103">
        <v>2</v>
      </c>
      <c r="AD17" s="103">
        <v>390</v>
      </c>
      <c r="AE17" s="103">
        <v>89</v>
      </c>
      <c r="AF17" s="103">
        <v>437</v>
      </c>
      <c r="AG17" s="103">
        <v>303</v>
      </c>
      <c r="AH17" s="110">
        <f t="shared" si="0"/>
        <v>139.03333333333333</v>
      </c>
      <c r="AI17" s="111">
        <v>10000</v>
      </c>
      <c r="AJ17" s="111">
        <v>4731</v>
      </c>
      <c r="AK17" s="112">
        <f t="shared" si="2"/>
        <v>0.47310000000000002</v>
      </c>
      <c r="AL17" s="113">
        <f t="shared" si="3"/>
        <v>5269</v>
      </c>
    </row>
    <row r="18" spans="1:38" ht="20">
      <c r="A18" s="99" t="s">
        <v>55</v>
      </c>
      <c r="B18" s="98" t="s">
        <v>68</v>
      </c>
      <c r="C18" s="103">
        <v>1</v>
      </c>
      <c r="D18" s="103">
        <v>9</v>
      </c>
      <c r="E18" s="103">
        <v>187</v>
      </c>
      <c r="F18" s="103">
        <v>0</v>
      </c>
      <c r="G18" s="103">
        <v>0</v>
      </c>
      <c r="H18" s="103">
        <v>174</v>
      </c>
      <c r="I18" s="103">
        <v>118</v>
      </c>
      <c r="J18" s="103">
        <v>255</v>
      </c>
      <c r="K18" s="103">
        <v>140</v>
      </c>
      <c r="L18" s="103">
        <v>45</v>
      </c>
      <c r="M18" s="103">
        <v>195</v>
      </c>
      <c r="N18" s="103">
        <v>333</v>
      </c>
      <c r="O18" s="103">
        <v>357</v>
      </c>
      <c r="P18" s="103">
        <v>170</v>
      </c>
      <c r="Q18" s="103">
        <v>12</v>
      </c>
      <c r="R18" s="103">
        <v>1</v>
      </c>
      <c r="S18" s="103">
        <v>1</v>
      </c>
      <c r="T18" s="103">
        <v>52</v>
      </c>
      <c r="U18" s="103">
        <v>391</v>
      </c>
      <c r="V18" s="103">
        <v>1</v>
      </c>
      <c r="W18" s="103">
        <v>331</v>
      </c>
      <c r="X18" s="103">
        <v>151</v>
      </c>
      <c r="Y18" s="103">
        <v>1</v>
      </c>
      <c r="Z18" s="103">
        <v>237</v>
      </c>
      <c r="AA18" s="103">
        <v>230</v>
      </c>
      <c r="AB18" s="103">
        <v>357</v>
      </c>
      <c r="AC18" s="103">
        <v>84</v>
      </c>
      <c r="AD18" s="103">
        <v>0</v>
      </c>
      <c r="AE18" s="103">
        <v>1</v>
      </c>
      <c r="AF18" s="103">
        <v>1</v>
      </c>
      <c r="AG18" s="103">
        <v>1</v>
      </c>
      <c r="AH18" s="110">
        <f t="shared" si="0"/>
        <v>127.83333333333333</v>
      </c>
      <c r="AI18" s="111">
        <v>10000</v>
      </c>
      <c r="AJ18" s="111">
        <v>4254</v>
      </c>
      <c r="AK18" s="112">
        <f t="shared" si="2"/>
        <v>0.4254</v>
      </c>
      <c r="AL18" s="113">
        <f t="shared" si="3"/>
        <v>5746</v>
      </c>
    </row>
    <row r="19" spans="1:38" ht="20">
      <c r="A19" s="115" t="s">
        <v>58</v>
      </c>
      <c r="B19" s="98" t="s">
        <v>59</v>
      </c>
      <c r="C19" s="103">
        <v>25</v>
      </c>
      <c r="D19" s="103">
        <v>1</v>
      </c>
      <c r="E19" s="103">
        <v>29</v>
      </c>
      <c r="F19" s="103">
        <v>56</v>
      </c>
      <c r="G19" s="103">
        <v>207</v>
      </c>
      <c r="H19" s="103">
        <v>67</v>
      </c>
      <c r="I19" s="103">
        <v>333</v>
      </c>
      <c r="J19" s="103">
        <v>82</v>
      </c>
      <c r="K19" s="103">
        <v>13</v>
      </c>
      <c r="L19" s="103">
        <v>14</v>
      </c>
      <c r="M19" s="103">
        <v>342</v>
      </c>
      <c r="N19" s="103">
        <v>16</v>
      </c>
      <c r="O19" s="103">
        <v>73</v>
      </c>
      <c r="P19" s="103">
        <v>0</v>
      </c>
      <c r="Q19" s="103">
        <v>0</v>
      </c>
      <c r="R19" s="103">
        <v>123</v>
      </c>
      <c r="S19" s="103">
        <v>355</v>
      </c>
      <c r="T19" s="103">
        <v>213</v>
      </c>
      <c r="U19" s="103">
        <v>49</v>
      </c>
      <c r="V19" s="103">
        <v>0</v>
      </c>
      <c r="W19" s="103">
        <v>41</v>
      </c>
      <c r="X19" s="103">
        <v>0</v>
      </c>
      <c r="Y19" s="103">
        <v>210</v>
      </c>
      <c r="Z19" s="103">
        <v>499</v>
      </c>
      <c r="AA19" s="103">
        <v>320</v>
      </c>
      <c r="AB19" s="103">
        <v>187</v>
      </c>
      <c r="AC19" s="103">
        <v>1</v>
      </c>
      <c r="AD19" s="103">
        <v>2</v>
      </c>
      <c r="AE19" s="103">
        <v>362</v>
      </c>
      <c r="AF19" s="103">
        <v>241</v>
      </c>
      <c r="AG19" s="103">
        <v>433</v>
      </c>
      <c r="AH19" s="110">
        <f t="shared" si="0"/>
        <v>128.69999999999999</v>
      </c>
      <c r="AI19" s="111">
        <v>10000</v>
      </c>
      <c r="AJ19" s="111">
        <f t="shared" si="4"/>
        <v>4294</v>
      </c>
      <c r="AK19" s="112">
        <f t="shared" si="2"/>
        <v>0.4294</v>
      </c>
      <c r="AL19" s="113">
        <f t="shared" si="3"/>
        <v>5706</v>
      </c>
    </row>
    <row r="20" spans="1:38" ht="20">
      <c r="A20" s="99" t="s">
        <v>60</v>
      </c>
      <c r="B20" s="98" t="s">
        <v>61</v>
      </c>
      <c r="C20" s="103">
        <v>0</v>
      </c>
      <c r="D20" s="103">
        <v>230</v>
      </c>
      <c r="E20" s="103">
        <v>565</v>
      </c>
      <c r="F20" s="103">
        <v>31</v>
      </c>
      <c r="G20" s="103">
        <v>170</v>
      </c>
      <c r="H20" s="103">
        <v>307</v>
      </c>
      <c r="I20" s="103">
        <v>108</v>
      </c>
      <c r="J20" s="103">
        <v>107</v>
      </c>
      <c r="K20" s="103">
        <v>416</v>
      </c>
      <c r="L20" s="103">
        <v>467</v>
      </c>
      <c r="M20" s="103">
        <v>289</v>
      </c>
      <c r="N20" s="103">
        <v>1</v>
      </c>
      <c r="O20" s="103">
        <v>2</v>
      </c>
      <c r="P20" s="103">
        <v>1</v>
      </c>
      <c r="Q20" s="103">
        <v>1</v>
      </c>
      <c r="R20" s="103">
        <v>69</v>
      </c>
      <c r="S20" s="103">
        <v>1</v>
      </c>
      <c r="T20" s="103">
        <v>1</v>
      </c>
      <c r="U20" s="103">
        <v>1</v>
      </c>
      <c r="V20" s="103">
        <v>106</v>
      </c>
      <c r="W20" s="103">
        <v>612</v>
      </c>
      <c r="X20" s="103">
        <v>414</v>
      </c>
      <c r="Y20" s="103">
        <v>18</v>
      </c>
      <c r="Z20" s="103">
        <v>0</v>
      </c>
      <c r="AA20" s="103">
        <v>0</v>
      </c>
      <c r="AB20" s="103">
        <v>0</v>
      </c>
      <c r="AC20" s="103">
        <v>0</v>
      </c>
      <c r="AD20" s="103">
        <v>1</v>
      </c>
      <c r="AE20" s="103">
        <v>27</v>
      </c>
      <c r="AF20" s="103">
        <v>195</v>
      </c>
      <c r="AG20" s="103">
        <v>0</v>
      </c>
      <c r="AH20" s="110">
        <f t="shared" si="0"/>
        <v>138</v>
      </c>
      <c r="AI20" s="111">
        <v>10000</v>
      </c>
      <c r="AJ20" s="111">
        <f t="shared" si="4"/>
        <v>4140</v>
      </c>
      <c r="AK20" s="112">
        <f t="shared" si="2"/>
        <v>0.41399999999999998</v>
      </c>
      <c r="AL20" s="113">
        <f t="shared" si="3"/>
        <v>5860</v>
      </c>
    </row>
    <row r="21" spans="1:38" ht="20">
      <c r="A21" s="99" t="s">
        <v>62</v>
      </c>
      <c r="B21" s="98" t="s">
        <v>63</v>
      </c>
      <c r="C21" s="103">
        <v>1</v>
      </c>
      <c r="D21" s="103">
        <v>1</v>
      </c>
      <c r="E21" s="103">
        <v>1</v>
      </c>
      <c r="F21" s="103">
        <v>1</v>
      </c>
      <c r="G21" s="103">
        <v>50</v>
      </c>
      <c r="H21" s="103">
        <v>117</v>
      </c>
      <c r="I21" s="103">
        <v>306</v>
      </c>
      <c r="J21" s="103">
        <v>233</v>
      </c>
      <c r="K21" s="103">
        <v>79</v>
      </c>
      <c r="L21" s="103">
        <v>3</v>
      </c>
      <c r="M21" s="103">
        <v>0</v>
      </c>
      <c r="N21" s="103">
        <v>0</v>
      </c>
      <c r="O21" s="103">
        <v>130</v>
      </c>
      <c r="P21" s="103">
        <v>221</v>
      </c>
      <c r="Q21" s="103">
        <v>210</v>
      </c>
      <c r="R21" s="103">
        <v>285</v>
      </c>
      <c r="S21" s="103">
        <v>288</v>
      </c>
      <c r="T21" s="103">
        <v>50</v>
      </c>
      <c r="U21" s="103">
        <v>1</v>
      </c>
      <c r="V21" s="103">
        <v>2</v>
      </c>
      <c r="W21" s="103">
        <v>121</v>
      </c>
      <c r="X21" s="103">
        <v>528</v>
      </c>
      <c r="Y21" s="103">
        <v>414</v>
      </c>
      <c r="Z21" s="103">
        <v>182</v>
      </c>
      <c r="AA21" s="103">
        <v>1</v>
      </c>
      <c r="AB21" s="103">
        <v>1</v>
      </c>
      <c r="AC21" s="103">
        <v>2</v>
      </c>
      <c r="AD21" s="103">
        <v>190</v>
      </c>
      <c r="AE21" s="103">
        <v>291</v>
      </c>
      <c r="AF21" s="103">
        <v>440</v>
      </c>
      <c r="AG21" s="103">
        <v>301</v>
      </c>
      <c r="AH21" s="110">
        <f t="shared" si="0"/>
        <v>138.30000000000001</v>
      </c>
      <c r="AI21" s="111">
        <v>10000</v>
      </c>
      <c r="AJ21" s="111">
        <f t="shared" si="4"/>
        <v>4450</v>
      </c>
      <c r="AK21" s="112">
        <f t="shared" si="2"/>
        <v>0.44500000000000001</v>
      </c>
      <c r="AL21" s="113">
        <f t="shared" si="3"/>
        <v>5550</v>
      </c>
    </row>
    <row r="22" spans="1:38" ht="20">
      <c r="A22" s="99" t="s">
        <v>64</v>
      </c>
      <c r="B22" s="98" t="s">
        <v>65</v>
      </c>
      <c r="C22" s="103">
        <v>124</v>
      </c>
      <c r="D22" s="103">
        <v>454</v>
      </c>
      <c r="E22" s="103">
        <v>91</v>
      </c>
      <c r="F22" s="103">
        <v>0</v>
      </c>
      <c r="G22" s="103">
        <v>51</v>
      </c>
      <c r="H22" s="103">
        <v>308</v>
      </c>
      <c r="I22" s="103">
        <v>252</v>
      </c>
      <c r="J22" s="103">
        <v>236</v>
      </c>
      <c r="K22" s="103">
        <v>331</v>
      </c>
      <c r="L22" s="103">
        <v>1</v>
      </c>
      <c r="M22" s="103">
        <v>295</v>
      </c>
      <c r="N22" s="103">
        <v>77</v>
      </c>
      <c r="O22" s="103">
        <v>531</v>
      </c>
      <c r="P22" s="103">
        <v>593</v>
      </c>
      <c r="Q22" s="103">
        <v>3</v>
      </c>
      <c r="R22" s="103">
        <v>69</v>
      </c>
      <c r="S22" s="103">
        <v>1</v>
      </c>
      <c r="T22" s="103">
        <v>1</v>
      </c>
      <c r="U22" s="103">
        <v>1</v>
      </c>
      <c r="V22" s="103">
        <v>77</v>
      </c>
      <c r="W22" s="103">
        <v>477</v>
      </c>
      <c r="X22" s="103">
        <v>540</v>
      </c>
      <c r="Y22" s="104">
        <v>52</v>
      </c>
      <c r="Z22" s="103">
        <v>0</v>
      </c>
      <c r="AA22" s="103">
        <v>0</v>
      </c>
      <c r="AB22" s="103">
        <v>0</v>
      </c>
      <c r="AC22" s="103">
        <v>0</v>
      </c>
      <c r="AD22" s="103">
        <v>1</v>
      </c>
      <c r="AE22" s="103">
        <v>28</v>
      </c>
      <c r="AF22" s="103">
        <v>196</v>
      </c>
      <c r="AG22" s="103">
        <v>0</v>
      </c>
      <c r="AH22" s="110">
        <f>AVERAGE(C22:AF22)</f>
        <v>159.66666666666666</v>
      </c>
      <c r="AI22" s="111">
        <v>10000</v>
      </c>
      <c r="AJ22" s="111">
        <f t="shared" si="4"/>
        <v>4790</v>
      </c>
      <c r="AK22" s="112">
        <f t="shared" si="2"/>
        <v>0.47899999999999998</v>
      </c>
      <c r="AL22" s="113">
        <f t="shared" si="3"/>
        <v>5210</v>
      </c>
    </row>
    <row r="23" spans="1:38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10" t="e">
        <f t="shared" si="0"/>
        <v>#DIV/0!</v>
      </c>
      <c r="AI23" s="111">
        <v>10000</v>
      </c>
      <c r="AJ23" s="111">
        <f t="shared" si="1"/>
        <v>0</v>
      </c>
      <c r="AK23" s="112">
        <f>AJ23/AI23</f>
        <v>0</v>
      </c>
      <c r="AL23" s="113">
        <f>AI23-AJ23</f>
        <v>10000</v>
      </c>
    </row>
    <row r="24" spans="1:38" s="116" customFormat="1" ht="28.5" customHeight="1">
      <c r="B24" s="124" t="s">
        <v>70</v>
      </c>
      <c r="C24" s="118">
        <f t="shared" ref="C24:Q24" si="5">SUM(C6:C22)</f>
        <v>993</v>
      </c>
      <c r="D24" s="118">
        <f t="shared" si="5"/>
        <v>1256</v>
      </c>
      <c r="E24" s="118">
        <f t="shared" si="5"/>
        <v>1759</v>
      </c>
      <c r="F24" s="118">
        <f t="shared" si="5"/>
        <v>439</v>
      </c>
      <c r="G24" s="118">
        <f t="shared" si="5"/>
        <v>1315</v>
      </c>
      <c r="H24" s="118">
        <f t="shared" si="5"/>
        <v>1373</v>
      </c>
      <c r="I24" s="118">
        <f t="shared" si="5"/>
        <v>2858</v>
      </c>
      <c r="J24" s="118">
        <f t="shared" si="5"/>
        <v>2490</v>
      </c>
      <c r="K24" s="118">
        <f t="shared" si="5"/>
        <v>2145</v>
      </c>
      <c r="L24" s="118">
        <f t="shared" si="5"/>
        <v>1413</v>
      </c>
      <c r="M24" s="118">
        <f t="shared" si="5"/>
        <v>2592</v>
      </c>
      <c r="N24" s="118">
        <f t="shared" si="5"/>
        <v>802</v>
      </c>
      <c r="O24" s="118">
        <f t="shared" si="5"/>
        <v>2563</v>
      </c>
      <c r="P24" s="118">
        <f t="shared" si="5"/>
        <v>3327</v>
      </c>
      <c r="Q24" s="118">
        <f t="shared" si="5"/>
        <v>1146</v>
      </c>
      <c r="R24" s="118">
        <f>SUM(Q6:Q22)</f>
        <v>1146</v>
      </c>
      <c r="S24" s="118">
        <f>SUM(R6:R22)</f>
        <v>1343</v>
      </c>
      <c r="T24" s="118">
        <f t="shared" ref="T24:AF24" si="6">SUM(T6:T22)</f>
        <v>1090</v>
      </c>
      <c r="U24" s="118">
        <f t="shared" si="6"/>
        <v>1570</v>
      </c>
      <c r="V24" s="118">
        <f t="shared" si="6"/>
        <v>1868</v>
      </c>
      <c r="W24" s="118">
        <f t="shared" si="6"/>
        <v>3232</v>
      </c>
      <c r="X24" s="118">
        <f t="shared" si="6"/>
        <v>3751</v>
      </c>
      <c r="Y24" s="118">
        <f>SUM(Y6:Y21)</f>
        <v>3136</v>
      </c>
      <c r="Z24" s="118">
        <f t="shared" si="6"/>
        <v>1648</v>
      </c>
      <c r="AA24" s="118">
        <f t="shared" si="6"/>
        <v>2228</v>
      </c>
      <c r="AB24" s="118">
        <f t="shared" si="6"/>
        <v>1811</v>
      </c>
      <c r="AC24" s="118">
        <f t="shared" si="6"/>
        <v>427</v>
      </c>
      <c r="AD24" s="118">
        <f t="shared" si="6"/>
        <v>1583</v>
      </c>
      <c r="AE24" s="118">
        <f t="shared" si="6"/>
        <v>1582</v>
      </c>
      <c r="AF24" s="118">
        <f t="shared" si="6"/>
        <v>3892</v>
      </c>
      <c r="AG24" s="118"/>
      <c r="AH24" s="119"/>
      <c r="AI24" s="120">
        <f>SUM(AI6:AI21)</f>
        <v>160000</v>
      </c>
      <c r="AJ24" s="121">
        <f>SUM(AJ6:AJ22)</f>
        <v>60739</v>
      </c>
      <c r="AK24" s="122">
        <f>AJ24/AI24</f>
        <v>0.37961875</v>
      </c>
      <c r="AL24" s="119"/>
    </row>
    <row r="25" spans="1:38" s="116" customFormat="1" ht="28.5" customHeight="1">
      <c r="B25" s="124" t="s">
        <v>83</v>
      </c>
      <c r="C25" s="117">
        <v>3150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/>
      <c r="AH25" s="119"/>
    </row>
    <row r="26" spans="1:38" s="116" customFormat="1" ht="15">
      <c r="B26" s="124" t="s">
        <v>72</v>
      </c>
      <c r="C26" s="123">
        <f>C27/C28</f>
        <v>0.13791666666666666</v>
      </c>
      <c r="D26" s="123">
        <f t="shared" ref="D26:AF26" si="7">D27/D28</f>
        <v>0.17444444444444446</v>
      </c>
      <c r="E26" s="123">
        <f t="shared" si="7"/>
        <v>0.24430555555555555</v>
      </c>
      <c r="F26" s="123">
        <f t="shared" si="7"/>
        <v>6.0972222222222219E-2</v>
      </c>
      <c r="G26" s="123">
        <f>G27/G28</f>
        <v>0.18263888888888888</v>
      </c>
      <c r="H26" s="123">
        <f t="shared" si="7"/>
        <v>0.19069444444444444</v>
      </c>
      <c r="I26" s="123">
        <f t="shared" si="7"/>
        <v>0.39694444444444443</v>
      </c>
      <c r="J26" s="123">
        <f t="shared" si="7"/>
        <v>0.34583333333333333</v>
      </c>
      <c r="K26" s="123">
        <f t="shared" si="7"/>
        <v>0.29791666666666666</v>
      </c>
      <c r="L26" s="123">
        <f t="shared" si="7"/>
        <v>0.19625000000000001</v>
      </c>
      <c r="M26" s="123">
        <f t="shared" si="7"/>
        <v>0.36</v>
      </c>
      <c r="N26" s="123">
        <f t="shared" si="7"/>
        <v>0.11138888888888888</v>
      </c>
      <c r="O26" s="123">
        <f t="shared" si="7"/>
        <v>0.35597222222222225</v>
      </c>
      <c r="P26" s="123">
        <f t="shared" si="7"/>
        <v>0.46208333333333335</v>
      </c>
      <c r="Q26" s="123">
        <f t="shared" si="7"/>
        <v>0.15916666666666668</v>
      </c>
      <c r="R26" s="123">
        <f t="shared" si="7"/>
        <v>0.15916666666666668</v>
      </c>
      <c r="S26" s="123">
        <f t="shared" si="7"/>
        <v>0.18652777777777776</v>
      </c>
      <c r="T26" s="123">
        <f t="shared" si="7"/>
        <v>0.14248366013071898</v>
      </c>
      <c r="U26" s="123">
        <f t="shared" si="7"/>
        <v>0.20522875816993466</v>
      </c>
      <c r="V26" s="123">
        <f t="shared" si="7"/>
        <v>0.24418300653594771</v>
      </c>
      <c r="W26" s="123">
        <f t="shared" si="7"/>
        <v>0.42248366013071897</v>
      </c>
      <c r="X26" s="123">
        <f t="shared" si="7"/>
        <v>0.49032679738562096</v>
      </c>
      <c r="Y26" s="123">
        <f t="shared" si="7"/>
        <v>0.43555555555555553</v>
      </c>
      <c r="Z26" s="123">
        <f t="shared" si="7"/>
        <v>0.21542483660130718</v>
      </c>
      <c r="AA26" s="123">
        <f t="shared" si="7"/>
        <v>0.29124183006535947</v>
      </c>
      <c r="AB26" s="123">
        <f t="shared" si="7"/>
        <v>0.23673202614379085</v>
      </c>
      <c r="AC26" s="123">
        <f t="shared" si="7"/>
        <v>5.5816993464052285E-2</v>
      </c>
      <c r="AD26" s="123">
        <f t="shared" si="7"/>
        <v>0.20692810457516342</v>
      </c>
      <c r="AE26" s="123">
        <f t="shared" si="7"/>
        <v>0.20679738562091504</v>
      </c>
      <c r="AF26" s="123">
        <f t="shared" si="7"/>
        <v>0.50875816993464051</v>
      </c>
      <c r="AG26" s="123"/>
      <c r="AH26" s="119"/>
    </row>
    <row r="27" spans="1:38" s="116" customFormat="1" ht="15">
      <c r="B27" s="124" t="s">
        <v>75</v>
      </c>
      <c r="C27" s="118">
        <f>AVERAGE(C6:C22)</f>
        <v>62.0625</v>
      </c>
      <c r="D27" s="118">
        <f t="shared" ref="D27:AF27" si="8">AVERAGE(D6:D22)</f>
        <v>78.5</v>
      </c>
      <c r="E27" s="118">
        <f t="shared" si="8"/>
        <v>109.9375</v>
      </c>
      <c r="F27" s="118">
        <f t="shared" si="8"/>
        <v>27.4375</v>
      </c>
      <c r="G27" s="118">
        <f>AVERAGE(G6:G22)</f>
        <v>82.1875</v>
      </c>
      <c r="H27" s="118">
        <f t="shared" si="8"/>
        <v>85.8125</v>
      </c>
      <c r="I27" s="118">
        <f t="shared" si="8"/>
        <v>178.625</v>
      </c>
      <c r="J27" s="118">
        <f t="shared" si="8"/>
        <v>155.625</v>
      </c>
      <c r="K27" s="118">
        <f t="shared" si="8"/>
        <v>134.0625</v>
      </c>
      <c r="L27" s="118">
        <f t="shared" si="8"/>
        <v>88.3125</v>
      </c>
      <c r="M27" s="118">
        <f t="shared" si="8"/>
        <v>162</v>
      </c>
      <c r="N27" s="118">
        <f t="shared" si="8"/>
        <v>50.125</v>
      </c>
      <c r="O27" s="118">
        <f t="shared" si="8"/>
        <v>160.1875</v>
      </c>
      <c r="P27" s="118">
        <f t="shared" si="8"/>
        <v>207.9375</v>
      </c>
      <c r="Q27" s="118">
        <f t="shared" si="8"/>
        <v>71.625</v>
      </c>
      <c r="R27" s="118">
        <f>AVERAGE(Q6:Q22)</f>
        <v>71.625</v>
      </c>
      <c r="S27" s="118">
        <f>AVERAGE(R6:R22)</f>
        <v>83.9375</v>
      </c>
      <c r="T27" s="118">
        <f t="shared" si="8"/>
        <v>64.117647058823536</v>
      </c>
      <c r="U27" s="118">
        <f t="shared" si="8"/>
        <v>92.352941176470594</v>
      </c>
      <c r="V27" s="118">
        <f t="shared" si="8"/>
        <v>109.88235294117646</v>
      </c>
      <c r="W27" s="118">
        <f t="shared" si="8"/>
        <v>190.11764705882354</v>
      </c>
      <c r="X27" s="118">
        <f t="shared" si="8"/>
        <v>220.64705882352942</v>
      </c>
      <c r="Y27" s="118">
        <f>AVERAGE(Y6:Y21)</f>
        <v>196</v>
      </c>
      <c r="Z27" s="118">
        <f t="shared" si="8"/>
        <v>96.941176470588232</v>
      </c>
      <c r="AA27" s="118">
        <f t="shared" si="8"/>
        <v>131.05882352941177</v>
      </c>
      <c r="AB27" s="118">
        <f t="shared" si="8"/>
        <v>106.52941176470588</v>
      </c>
      <c r="AC27" s="118">
        <f t="shared" si="8"/>
        <v>25.117647058823529</v>
      </c>
      <c r="AD27" s="118">
        <f t="shared" si="8"/>
        <v>93.117647058823536</v>
      </c>
      <c r="AE27" s="118">
        <f t="shared" si="8"/>
        <v>93.058823529411768</v>
      </c>
      <c r="AF27" s="118">
        <f t="shared" si="8"/>
        <v>228.94117647058823</v>
      </c>
      <c r="AG27" s="158"/>
      <c r="AH27" s="126"/>
    </row>
    <row r="28" spans="1:38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59"/>
    </row>
  </sheetData>
  <mergeCells count="1">
    <mergeCell ref="C1:AF1"/>
  </mergeCells>
  <conditionalFormatting sqref="A8">
    <cfRule type="duplicateValues" dxfId="48" priority="7"/>
  </conditionalFormatting>
  <conditionalFormatting sqref="A10:A11 A7">
    <cfRule type="duplicateValues" dxfId="47" priority="8"/>
  </conditionalFormatting>
  <conditionalFormatting sqref="A13">
    <cfRule type="duplicateValues" dxfId="46" priority="4"/>
  </conditionalFormatting>
  <conditionalFormatting sqref="A14">
    <cfRule type="duplicateValues" dxfId="45" priority="6"/>
  </conditionalFormatting>
  <conditionalFormatting sqref="A16:A17 A12">
    <cfRule type="duplicateValues" dxfId="44" priority="11"/>
  </conditionalFormatting>
  <conditionalFormatting sqref="A22 A15 A9 A3:A6">
    <cfRule type="duplicateValues" dxfId="43" priority="10"/>
  </conditionalFormatting>
  <conditionalFormatting sqref="A23 A18:A20">
    <cfRule type="duplicateValues" dxfId="42" priority="9"/>
  </conditionalFormatting>
  <conditionalFormatting sqref="C3:AG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L3:AL23">
    <cfRule type="cellIs" dxfId="41" priority="2" operator="lessThan">
      <formula>0</formula>
    </cfRule>
    <cfRule type="cellIs" dxfId="40" priority="3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80D4-3585-4B6D-AC10-E7754DF622B4}">
  <dimension ref="A1:AK28"/>
  <sheetViews>
    <sheetView zoomScale="59" zoomScaleNormal="59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AI3" sqref="AI3:AI23"/>
    </sheetView>
  </sheetViews>
  <sheetFormatPr defaultRowHeight="14.5"/>
  <cols>
    <col min="1" max="1" width="16" customWidth="1"/>
    <col min="2" max="2" width="39.36328125" customWidth="1"/>
    <col min="3" max="8" width="8.08984375" bestFit="1" customWidth="1"/>
    <col min="9" max="9" width="8.7265625" bestFit="1" customWidth="1"/>
    <col min="10" max="32" width="11.81640625" bestFit="1" customWidth="1"/>
    <col min="33" max="33" width="10.6328125" bestFit="1" customWidth="1"/>
    <col min="34" max="34" width="16.08984375" bestFit="1" customWidth="1"/>
    <col min="35" max="35" width="18.6328125" bestFit="1" customWidth="1"/>
    <col min="36" max="36" width="13.36328125" customWidth="1"/>
    <col min="37" max="37" width="13" customWidth="1"/>
  </cols>
  <sheetData>
    <row r="1" spans="1:37" ht="35.25" customHeight="1">
      <c r="B1" s="127" t="s">
        <v>82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</row>
    <row r="2" spans="1:37" ht="73.5" customHeight="1">
      <c r="A2" s="60" t="s">
        <v>4</v>
      </c>
      <c r="B2" s="61" t="s">
        <v>5</v>
      </c>
      <c r="C2" s="100">
        <v>45078</v>
      </c>
      <c r="D2" s="100">
        <v>45079</v>
      </c>
      <c r="E2" s="100">
        <v>45080</v>
      </c>
      <c r="F2" s="100">
        <v>45081</v>
      </c>
      <c r="G2" s="100">
        <v>45082</v>
      </c>
      <c r="H2" s="100">
        <v>45083</v>
      </c>
      <c r="I2" s="100">
        <v>45084</v>
      </c>
      <c r="J2" s="100">
        <v>45085</v>
      </c>
      <c r="K2" s="100">
        <v>45086</v>
      </c>
      <c r="L2" s="100">
        <v>45087</v>
      </c>
      <c r="M2" s="100">
        <v>45088</v>
      </c>
      <c r="N2" s="100">
        <v>45089</v>
      </c>
      <c r="O2" s="100">
        <v>45090</v>
      </c>
      <c r="P2" s="100">
        <v>45091</v>
      </c>
      <c r="Q2" s="100">
        <v>45092</v>
      </c>
      <c r="R2" s="100">
        <v>45093</v>
      </c>
      <c r="S2" s="100">
        <v>45094</v>
      </c>
      <c r="T2" s="100">
        <v>45095</v>
      </c>
      <c r="U2" s="100">
        <v>45096</v>
      </c>
      <c r="V2" s="100">
        <v>45097</v>
      </c>
      <c r="W2" s="100">
        <v>45098</v>
      </c>
      <c r="X2" s="100">
        <v>45099</v>
      </c>
      <c r="Y2" s="100">
        <v>45100</v>
      </c>
      <c r="Z2" s="100">
        <v>45101</v>
      </c>
      <c r="AA2" s="100">
        <v>45102</v>
      </c>
      <c r="AB2" s="100">
        <v>45103</v>
      </c>
      <c r="AC2" s="100">
        <v>45104</v>
      </c>
      <c r="AD2" s="100">
        <v>45105</v>
      </c>
      <c r="AE2" s="100">
        <v>45106</v>
      </c>
      <c r="AF2" s="100">
        <v>45107</v>
      </c>
      <c r="AG2" s="101" t="s">
        <v>79</v>
      </c>
      <c r="AH2" s="106" t="s">
        <v>18</v>
      </c>
      <c r="AI2" s="125" t="s">
        <v>77</v>
      </c>
      <c r="AJ2" s="107" t="s">
        <v>20</v>
      </c>
      <c r="AK2" s="108" t="s">
        <v>78</v>
      </c>
    </row>
    <row r="3" spans="1:37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10">
        <f t="shared" ref="AG3:AG23" si="0">AVERAGE(C3:AF3)</f>
        <v>0</v>
      </c>
      <c r="AH3" s="111">
        <v>10000</v>
      </c>
      <c r="AI3" s="111">
        <f t="shared" ref="AI3:AI23" si="1">SUM(C3:AF3)</f>
        <v>0</v>
      </c>
      <c r="AJ3" s="112">
        <f>AI3/AH3</f>
        <v>0</v>
      </c>
      <c r="AK3" s="113">
        <f>AH3-AI3</f>
        <v>10000</v>
      </c>
    </row>
    <row r="4" spans="1:37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10">
        <f t="shared" si="0"/>
        <v>0</v>
      </c>
      <c r="AH4" s="111">
        <v>10000</v>
      </c>
      <c r="AI4" s="111">
        <f t="shared" si="1"/>
        <v>0</v>
      </c>
      <c r="AJ4" s="112">
        <f t="shared" ref="AJ4:AJ22" si="2">AI4/AH4</f>
        <v>0</v>
      </c>
      <c r="AK4" s="113">
        <f t="shared" ref="AK4:AK22" si="3">AH4-AI4</f>
        <v>10000</v>
      </c>
    </row>
    <row r="5" spans="1:37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10">
        <f t="shared" si="0"/>
        <v>0</v>
      </c>
      <c r="AH5" s="111">
        <v>10000</v>
      </c>
      <c r="AI5" s="111">
        <f t="shared" si="1"/>
        <v>0</v>
      </c>
      <c r="AJ5" s="112">
        <f t="shared" si="2"/>
        <v>0</v>
      </c>
      <c r="AK5" s="113">
        <f t="shared" si="3"/>
        <v>10000</v>
      </c>
    </row>
    <row r="6" spans="1:37" ht="20">
      <c r="A6" s="99" t="s">
        <v>33</v>
      </c>
      <c r="B6" s="98" t="s">
        <v>34</v>
      </c>
      <c r="C6" s="103">
        <v>249</v>
      </c>
      <c r="D6" s="103">
        <v>295</v>
      </c>
      <c r="E6" s="103">
        <v>246</v>
      </c>
      <c r="F6" s="103">
        <v>198</v>
      </c>
      <c r="G6" s="103">
        <v>270</v>
      </c>
      <c r="H6" s="103">
        <v>240</v>
      </c>
      <c r="I6" s="103">
        <v>244</v>
      </c>
      <c r="J6" s="103">
        <v>93</v>
      </c>
      <c r="K6" s="103">
        <v>338</v>
      </c>
      <c r="L6" s="103">
        <v>136</v>
      </c>
      <c r="M6" s="103">
        <v>0</v>
      </c>
      <c r="N6" s="103">
        <v>0</v>
      </c>
      <c r="O6" s="103">
        <v>0</v>
      </c>
      <c r="P6" s="103">
        <v>0</v>
      </c>
      <c r="Q6" s="103">
        <v>0</v>
      </c>
      <c r="R6" s="103">
        <v>17</v>
      </c>
      <c r="S6" s="103">
        <v>405</v>
      </c>
      <c r="T6" s="103">
        <v>377</v>
      </c>
      <c r="U6" s="103">
        <v>132</v>
      </c>
      <c r="V6" s="103">
        <v>75</v>
      </c>
      <c r="W6" s="103">
        <v>285</v>
      </c>
      <c r="X6" s="103">
        <v>242</v>
      </c>
      <c r="Y6" s="103">
        <v>261</v>
      </c>
      <c r="Z6" s="103">
        <v>201</v>
      </c>
      <c r="AA6" s="103">
        <v>201</v>
      </c>
      <c r="AB6" s="103">
        <v>29</v>
      </c>
      <c r="AC6" s="103">
        <v>0</v>
      </c>
      <c r="AD6" s="103">
        <v>0</v>
      </c>
      <c r="AE6" s="103">
        <v>0</v>
      </c>
      <c r="AF6" s="103">
        <v>11</v>
      </c>
      <c r="AG6" s="110">
        <f t="shared" si="0"/>
        <v>151.5</v>
      </c>
      <c r="AH6" s="111">
        <v>10000</v>
      </c>
      <c r="AI6" s="111">
        <f>SUM(C6:AF6)</f>
        <v>4545</v>
      </c>
      <c r="AJ6" s="112">
        <f t="shared" si="2"/>
        <v>0.45450000000000002</v>
      </c>
      <c r="AK6" s="113">
        <f t="shared" si="3"/>
        <v>5455</v>
      </c>
    </row>
    <row r="7" spans="1:37" ht="20">
      <c r="A7" s="99" t="s">
        <v>35</v>
      </c>
      <c r="B7" s="98" t="s">
        <v>36</v>
      </c>
      <c r="C7" s="103">
        <v>272</v>
      </c>
      <c r="D7" s="103">
        <v>216</v>
      </c>
      <c r="E7" s="103">
        <v>280</v>
      </c>
      <c r="F7" s="103">
        <v>405</v>
      </c>
      <c r="G7" s="103">
        <v>295</v>
      </c>
      <c r="H7" s="103">
        <v>186</v>
      </c>
      <c r="I7" s="103">
        <v>0</v>
      </c>
      <c r="J7" s="103">
        <v>59</v>
      </c>
      <c r="K7" s="103">
        <v>243</v>
      </c>
      <c r="L7" s="103">
        <v>151</v>
      </c>
      <c r="M7" s="103">
        <v>490</v>
      </c>
      <c r="N7" s="103">
        <v>260</v>
      </c>
      <c r="O7" s="103">
        <v>350</v>
      </c>
      <c r="P7" s="103">
        <v>386</v>
      </c>
      <c r="Q7" s="103">
        <v>319</v>
      </c>
      <c r="R7" s="103">
        <v>361</v>
      </c>
      <c r="S7" s="103">
        <v>151</v>
      </c>
      <c r="T7" s="103">
        <v>274</v>
      </c>
      <c r="U7" s="103">
        <v>125</v>
      </c>
      <c r="V7" s="103">
        <v>337</v>
      </c>
      <c r="W7" s="103">
        <v>52</v>
      </c>
      <c r="X7" s="103">
        <v>380</v>
      </c>
      <c r="Y7" s="103">
        <v>317</v>
      </c>
      <c r="Z7" s="103">
        <v>322</v>
      </c>
      <c r="AA7" s="103">
        <v>322</v>
      </c>
      <c r="AB7" s="103">
        <v>287</v>
      </c>
      <c r="AC7" s="103">
        <v>150</v>
      </c>
      <c r="AD7" s="103">
        <v>416</v>
      </c>
      <c r="AE7" s="103">
        <v>321</v>
      </c>
      <c r="AF7" s="103">
        <v>0</v>
      </c>
      <c r="AG7" s="110">
        <f t="shared" si="0"/>
        <v>257.56666666666666</v>
      </c>
      <c r="AH7" s="111">
        <v>10000</v>
      </c>
      <c r="AI7" s="111">
        <f>SUM(C7:AF7)</f>
        <v>7727</v>
      </c>
      <c r="AJ7" s="112">
        <f t="shared" si="2"/>
        <v>0.77270000000000005</v>
      </c>
      <c r="AK7" s="113">
        <f t="shared" si="3"/>
        <v>2273</v>
      </c>
    </row>
    <row r="8" spans="1:37" ht="20">
      <c r="A8" s="99" t="s">
        <v>37</v>
      </c>
      <c r="B8" s="98" t="s">
        <v>73</v>
      </c>
      <c r="C8" s="103">
        <v>0</v>
      </c>
      <c r="D8" s="103">
        <v>0</v>
      </c>
      <c r="E8" s="103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  <c r="AA8" s="103">
        <v>0</v>
      </c>
      <c r="AB8" s="103">
        <v>0</v>
      </c>
      <c r="AC8" s="103">
        <v>0</v>
      </c>
      <c r="AD8" s="103">
        <v>0</v>
      </c>
      <c r="AE8" s="103">
        <v>0</v>
      </c>
      <c r="AF8" s="103">
        <v>0</v>
      </c>
      <c r="AG8" s="110">
        <f t="shared" si="0"/>
        <v>0</v>
      </c>
      <c r="AH8" s="111">
        <v>10000</v>
      </c>
      <c r="AI8" s="111">
        <f t="shared" si="1"/>
        <v>0</v>
      </c>
      <c r="AJ8" s="112">
        <f t="shared" si="2"/>
        <v>0</v>
      </c>
      <c r="AK8" s="113">
        <f t="shared" si="3"/>
        <v>10000</v>
      </c>
    </row>
    <row r="9" spans="1:37" ht="20">
      <c r="A9" s="99" t="s">
        <v>38</v>
      </c>
      <c r="B9" s="98" t="s">
        <v>39</v>
      </c>
      <c r="C9" s="103">
        <v>180</v>
      </c>
      <c r="D9" s="103">
        <v>0</v>
      </c>
      <c r="E9" s="103">
        <v>101</v>
      </c>
      <c r="F9" s="103">
        <v>541</v>
      </c>
      <c r="G9" s="103">
        <v>349</v>
      </c>
      <c r="H9" s="103">
        <v>0</v>
      </c>
      <c r="I9" s="103">
        <v>1</v>
      </c>
      <c r="J9" s="103">
        <v>147</v>
      </c>
      <c r="K9" s="103">
        <v>417</v>
      </c>
      <c r="L9" s="103">
        <v>0</v>
      </c>
      <c r="M9" s="103">
        <v>0</v>
      </c>
      <c r="N9" s="103">
        <v>86</v>
      </c>
      <c r="O9" s="103">
        <v>246</v>
      </c>
      <c r="P9" s="103">
        <v>148</v>
      </c>
      <c r="Q9" s="103">
        <v>529</v>
      </c>
      <c r="R9" s="103">
        <v>21</v>
      </c>
      <c r="S9" s="103">
        <v>1</v>
      </c>
      <c r="T9" s="103">
        <v>42</v>
      </c>
      <c r="U9" s="103">
        <v>1</v>
      </c>
      <c r="V9" s="103">
        <v>226</v>
      </c>
      <c r="W9" s="103">
        <v>80</v>
      </c>
      <c r="X9" s="103">
        <v>423</v>
      </c>
      <c r="Y9" s="103">
        <v>58</v>
      </c>
      <c r="Z9" s="103">
        <v>141</v>
      </c>
      <c r="AA9" s="103">
        <v>141</v>
      </c>
      <c r="AB9" s="103">
        <v>136</v>
      </c>
      <c r="AC9" s="103">
        <v>66</v>
      </c>
      <c r="AD9" s="103">
        <v>0</v>
      </c>
      <c r="AE9" s="103">
        <v>13</v>
      </c>
      <c r="AF9" s="103">
        <v>0</v>
      </c>
      <c r="AG9" s="110">
        <f t="shared" si="0"/>
        <v>136.46666666666667</v>
      </c>
      <c r="AH9" s="111">
        <v>10000</v>
      </c>
      <c r="AI9" s="111">
        <f t="shared" si="1"/>
        <v>4094</v>
      </c>
      <c r="AJ9" s="112">
        <f t="shared" si="2"/>
        <v>0.40939999999999999</v>
      </c>
      <c r="AK9" s="113">
        <f t="shared" si="3"/>
        <v>5906</v>
      </c>
    </row>
    <row r="10" spans="1:37" ht="20">
      <c r="A10" s="114" t="s">
        <v>40</v>
      </c>
      <c r="B10" s="102" t="s">
        <v>68</v>
      </c>
      <c r="C10" s="104"/>
      <c r="D10" s="104"/>
      <c r="E10" s="105"/>
      <c r="F10" s="105"/>
      <c r="G10" s="105"/>
      <c r="H10" s="104"/>
      <c r="I10" s="104"/>
      <c r="J10" s="104"/>
      <c r="K10" s="104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10" t="e">
        <f>AVERAGE(C10:AF10)</f>
        <v>#DIV/0!</v>
      </c>
      <c r="AH10" s="111">
        <v>10000</v>
      </c>
      <c r="AI10" s="111">
        <f>SUM(C10:AF10)</f>
        <v>0</v>
      </c>
      <c r="AJ10" s="112">
        <f>AI10/AH10</f>
        <v>0</v>
      </c>
      <c r="AK10" s="113">
        <f>AH10-AI10</f>
        <v>10000</v>
      </c>
    </row>
    <row r="11" spans="1:37" ht="20">
      <c r="A11" s="99" t="s">
        <v>41</v>
      </c>
      <c r="B11" s="98" t="s">
        <v>42</v>
      </c>
      <c r="C11" s="103">
        <v>1</v>
      </c>
      <c r="D11" s="103">
        <v>2</v>
      </c>
      <c r="E11" s="103">
        <v>2</v>
      </c>
      <c r="F11" s="103">
        <v>1</v>
      </c>
      <c r="G11" s="103">
        <v>1</v>
      </c>
      <c r="H11" s="103">
        <v>1</v>
      </c>
      <c r="I11" s="103">
        <v>1</v>
      </c>
      <c r="J11" s="103">
        <v>146</v>
      </c>
      <c r="K11" s="103">
        <v>200</v>
      </c>
      <c r="L11" s="103">
        <v>551</v>
      </c>
      <c r="M11" s="103">
        <v>463</v>
      </c>
      <c r="N11" s="103">
        <v>325</v>
      </c>
      <c r="O11" s="103">
        <v>269</v>
      </c>
      <c r="P11" s="103">
        <v>414</v>
      </c>
      <c r="Q11" s="103">
        <v>205</v>
      </c>
      <c r="R11" s="103">
        <v>1</v>
      </c>
      <c r="S11" s="103">
        <v>0</v>
      </c>
      <c r="T11" s="103">
        <v>1</v>
      </c>
      <c r="U11" s="103">
        <v>86</v>
      </c>
      <c r="V11" s="103">
        <v>48</v>
      </c>
      <c r="W11" s="103">
        <v>1</v>
      </c>
      <c r="X11" s="103">
        <v>14</v>
      </c>
      <c r="Y11" s="103">
        <v>1</v>
      </c>
      <c r="Z11" s="103">
        <v>0</v>
      </c>
      <c r="AA11" s="103">
        <v>0</v>
      </c>
      <c r="AB11" s="103">
        <v>97</v>
      </c>
      <c r="AC11" s="103">
        <v>204</v>
      </c>
      <c r="AD11" s="103">
        <v>145</v>
      </c>
      <c r="AE11" s="103">
        <v>110</v>
      </c>
      <c r="AF11" s="103">
        <v>317</v>
      </c>
      <c r="AG11" s="110">
        <f t="shared" si="0"/>
        <v>120.23333333333333</v>
      </c>
      <c r="AH11" s="111">
        <v>10000</v>
      </c>
      <c r="AI11" s="111">
        <f t="shared" si="1"/>
        <v>3607</v>
      </c>
      <c r="AJ11" s="112">
        <f t="shared" si="2"/>
        <v>0.36070000000000002</v>
      </c>
      <c r="AK11" s="113">
        <f t="shared" si="3"/>
        <v>6393</v>
      </c>
    </row>
    <row r="12" spans="1:37" ht="20">
      <c r="A12" s="99" t="s">
        <v>43</v>
      </c>
      <c r="B12" s="98" t="s">
        <v>44</v>
      </c>
      <c r="C12" s="103">
        <v>0</v>
      </c>
      <c r="D12" s="103">
        <v>0</v>
      </c>
      <c r="E12" s="103">
        <v>0</v>
      </c>
      <c r="F12" s="103">
        <v>409</v>
      </c>
      <c r="G12" s="103">
        <v>390</v>
      </c>
      <c r="H12" s="103">
        <v>204</v>
      </c>
      <c r="I12" s="103">
        <v>0</v>
      </c>
      <c r="J12" s="103">
        <v>86</v>
      </c>
      <c r="K12" s="103">
        <v>269</v>
      </c>
      <c r="L12" s="103">
        <v>199</v>
      </c>
      <c r="M12" s="103">
        <v>0</v>
      </c>
      <c r="N12" s="103">
        <v>0</v>
      </c>
      <c r="O12" s="103">
        <v>0</v>
      </c>
      <c r="P12" s="103">
        <v>0</v>
      </c>
      <c r="Q12" s="103">
        <v>16</v>
      </c>
      <c r="R12" s="103">
        <v>318</v>
      </c>
      <c r="S12" s="103">
        <v>0</v>
      </c>
      <c r="T12" s="103">
        <v>127</v>
      </c>
      <c r="U12" s="103">
        <v>343</v>
      </c>
      <c r="V12" s="103">
        <v>182</v>
      </c>
      <c r="W12" s="103">
        <v>2</v>
      </c>
      <c r="X12" s="103">
        <v>111</v>
      </c>
      <c r="Y12" s="103">
        <v>163</v>
      </c>
      <c r="Z12" s="103">
        <v>340</v>
      </c>
      <c r="AA12" s="103">
        <v>340</v>
      </c>
      <c r="AB12" s="103">
        <v>137</v>
      </c>
      <c r="AC12" s="103">
        <v>0</v>
      </c>
      <c r="AD12" s="103">
        <v>1</v>
      </c>
      <c r="AE12" s="103">
        <v>0</v>
      </c>
      <c r="AF12" s="103">
        <v>1</v>
      </c>
      <c r="AG12" s="110">
        <f t="shared" si="0"/>
        <v>121.26666666666667</v>
      </c>
      <c r="AH12" s="111">
        <v>10000</v>
      </c>
      <c r="AI12" s="111">
        <f t="shared" si="1"/>
        <v>3638</v>
      </c>
      <c r="AJ12" s="112">
        <f t="shared" si="2"/>
        <v>0.36380000000000001</v>
      </c>
      <c r="AK12" s="113">
        <f t="shared" si="3"/>
        <v>6362</v>
      </c>
    </row>
    <row r="13" spans="1:37" ht="20">
      <c r="A13" s="99" t="s">
        <v>45</v>
      </c>
      <c r="B13" s="98" t="s">
        <v>46</v>
      </c>
      <c r="C13" s="103">
        <v>565</v>
      </c>
      <c r="D13" s="103">
        <v>490</v>
      </c>
      <c r="E13" s="103">
        <v>137</v>
      </c>
      <c r="F13" s="103">
        <v>0</v>
      </c>
      <c r="G13" s="103">
        <v>148</v>
      </c>
      <c r="H13" s="103">
        <v>205</v>
      </c>
      <c r="I13" s="103">
        <v>1</v>
      </c>
      <c r="J13" s="103">
        <v>145</v>
      </c>
      <c r="K13" s="103">
        <v>463</v>
      </c>
      <c r="L13" s="103">
        <v>86</v>
      </c>
      <c r="M13" s="103">
        <v>0</v>
      </c>
      <c r="N13" s="103">
        <v>1</v>
      </c>
      <c r="O13" s="103">
        <v>1</v>
      </c>
      <c r="P13" s="103">
        <v>0</v>
      </c>
      <c r="Q13" s="103">
        <v>305</v>
      </c>
      <c r="R13" s="103">
        <v>673</v>
      </c>
      <c r="S13" s="103">
        <v>219</v>
      </c>
      <c r="T13" s="103">
        <v>402</v>
      </c>
      <c r="U13" s="103">
        <v>605</v>
      </c>
      <c r="V13" s="103">
        <v>203</v>
      </c>
      <c r="W13" s="103">
        <v>1</v>
      </c>
      <c r="X13" s="103">
        <v>1</v>
      </c>
      <c r="Y13" s="103">
        <v>0</v>
      </c>
      <c r="Z13" s="103">
        <v>1</v>
      </c>
      <c r="AA13" s="103">
        <v>1</v>
      </c>
      <c r="AB13" s="103">
        <v>0</v>
      </c>
      <c r="AC13" s="103">
        <v>0</v>
      </c>
      <c r="AD13" s="103">
        <v>1</v>
      </c>
      <c r="AE13" s="103">
        <v>1</v>
      </c>
      <c r="AF13" s="103">
        <v>1</v>
      </c>
      <c r="AG13" s="110">
        <f t="shared" si="0"/>
        <v>155.19999999999999</v>
      </c>
      <c r="AH13" s="111">
        <v>10000</v>
      </c>
      <c r="AI13" s="111">
        <f t="shared" si="1"/>
        <v>4656</v>
      </c>
      <c r="AJ13" s="112">
        <f t="shared" si="2"/>
        <v>0.46560000000000001</v>
      </c>
      <c r="AK13" s="113">
        <f t="shared" si="3"/>
        <v>5344</v>
      </c>
    </row>
    <row r="14" spans="1:37" ht="20">
      <c r="A14" s="99" t="s">
        <v>47</v>
      </c>
      <c r="B14" s="98" t="s">
        <v>48</v>
      </c>
      <c r="C14" s="103">
        <v>533</v>
      </c>
      <c r="D14" s="103">
        <v>69</v>
      </c>
      <c r="E14" s="103">
        <v>285</v>
      </c>
      <c r="F14" s="103">
        <v>279</v>
      </c>
      <c r="G14" s="103">
        <v>146</v>
      </c>
      <c r="H14" s="103">
        <v>1</v>
      </c>
      <c r="I14" s="103">
        <v>0</v>
      </c>
      <c r="J14" s="103">
        <v>208</v>
      </c>
      <c r="K14" s="103">
        <v>697</v>
      </c>
      <c r="L14" s="103">
        <v>335</v>
      </c>
      <c r="M14" s="103">
        <v>577</v>
      </c>
      <c r="N14" s="103">
        <v>460</v>
      </c>
      <c r="O14" s="103">
        <v>209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59</v>
      </c>
      <c r="V14" s="103">
        <v>74</v>
      </c>
      <c r="W14" s="103">
        <v>0</v>
      </c>
      <c r="X14" s="103">
        <v>17</v>
      </c>
      <c r="Y14" s="103">
        <v>203</v>
      </c>
      <c r="Z14" s="103">
        <v>194</v>
      </c>
      <c r="AA14" s="103">
        <v>194</v>
      </c>
      <c r="AB14" s="103">
        <v>86</v>
      </c>
      <c r="AC14" s="103">
        <v>46</v>
      </c>
      <c r="AD14" s="103">
        <v>92</v>
      </c>
      <c r="AE14" s="103">
        <v>546</v>
      </c>
      <c r="AF14" s="103">
        <v>183</v>
      </c>
      <c r="AG14" s="110">
        <f t="shared" si="0"/>
        <v>183.1</v>
      </c>
      <c r="AH14" s="111">
        <v>10000</v>
      </c>
      <c r="AI14" s="111">
        <f t="shared" si="1"/>
        <v>5493</v>
      </c>
      <c r="AJ14" s="112">
        <f t="shared" si="2"/>
        <v>0.54930000000000001</v>
      </c>
      <c r="AK14" s="113">
        <f t="shared" si="3"/>
        <v>4507</v>
      </c>
    </row>
    <row r="15" spans="1:37" ht="20">
      <c r="A15" s="99" t="s">
        <v>49</v>
      </c>
      <c r="B15" s="98" t="s">
        <v>50</v>
      </c>
      <c r="C15" s="103">
        <v>193</v>
      </c>
      <c r="D15" s="103">
        <v>275</v>
      </c>
      <c r="E15" s="103">
        <v>61</v>
      </c>
      <c r="F15" s="103">
        <v>87</v>
      </c>
      <c r="G15" s="103">
        <v>289</v>
      </c>
      <c r="H15" s="103">
        <v>441</v>
      </c>
      <c r="I15" s="103">
        <v>460</v>
      </c>
      <c r="J15" s="103">
        <v>23</v>
      </c>
      <c r="K15" s="103">
        <v>1</v>
      </c>
      <c r="L15" s="103">
        <v>1</v>
      </c>
      <c r="M15" s="103">
        <v>120</v>
      </c>
      <c r="N15" s="103">
        <v>0</v>
      </c>
      <c r="O15" s="103">
        <v>461</v>
      </c>
      <c r="P15" s="103">
        <v>213</v>
      </c>
      <c r="Q15" s="103">
        <v>0</v>
      </c>
      <c r="R15" s="103">
        <v>0</v>
      </c>
      <c r="S15" s="103">
        <v>0</v>
      </c>
      <c r="T15" s="103">
        <v>0</v>
      </c>
      <c r="U15" s="103">
        <v>47</v>
      </c>
      <c r="V15" s="103">
        <v>86</v>
      </c>
      <c r="W15" s="103">
        <v>0</v>
      </c>
      <c r="X15" s="103">
        <v>16</v>
      </c>
      <c r="Y15" s="103">
        <v>0</v>
      </c>
      <c r="Z15" s="103">
        <v>13</v>
      </c>
      <c r="AA15" s="103">
        <v>13</v>
      </c>
      <c r="AB15" s="103">
        <v>0</v>
      </c>
      <c r="AC15" s="103">
        <v>0</v>
      </c>
      <c r="AD15" s="103">
        <v>0</v>
      </c>
      <c r="AE15" s="103">
        <v>33</v>
      </c>
      <c r="AF15" s="103">
        <v>445</v>
      </c>
      <c r="AG15" s="110">
        <f t="shared" si="0"/>
        <v>109.26666666666667</v>
      </c>
      <c r="AH15" s="111">
        <v>10000</v>
      </c>
      <c r="AI15" s="111">
        <f t="shared" si="1"/>
        <v>3278</v>
      </c>
      <c r="AJ15" s="112">
        <f t="shared" si="2"/>
        <v>0.32779999999999998</v>
      </c>
      <c r="AK15" s="113">
        <f t="shared" si="3"/>
        <v>6722</v>
      </c>
    </row>
    <row r="16" spans="1:37" ht="20">
      <c r="A16" s="99" t="s">
        <v>51</v>
      </c>
      <c r="B16" s="98" t="s">
        <v>52</v>
      </c>
      <c r="C16" s="103">
        <v>0</v>
      </c>
      <c r="D16" s="103">
        <v>0</v>
      </c>
      <c r="E16" s="103">
        <v>0</v>
      </c>
      <c r="F16" s="103">
        <v>0</v>
      </c>
      <c r="G16" s="103">
        <v>74</v>
      </c>
      <c r="H16" s="103">
        <v>420</v>
      </c>
      <c r="I16" s="103">
        <v>29</v>
      </c>
      <c r="J16" s="103">
        <v>544</v>
      </c>
      <c r="K16" s="103">
        <v>139</v>
      </c>
      <c r="L16" s="103">
        <v>521</v>
      </c>
      <c r="M16" s="103">
        <v>474</v>
      </c>
      <c r="N16" s="103">
        <v>227</v>
      </c>
      <c r="O16" s="103">
        <v>0</v>
      </c>
      <c r="P16" s="103">
        <v>0</v>
      </c>
      <c r="Q16" s="103">
        <v>1</v>
      </c>
      <c r="R16" s="103">
        <v>0</v>
      </c>
      <c r="S16" s="103">
        <v>0</v>
      </c>
      <c r="T16" s="103">
        <v>1</v>
      </c>
      <c r="U16" s="103">
        <v>16</v>
      </c>
      <c r="V16" s="103">
        <v>97</v>
      </c>
      <c r="W16" s="103">
        <v>1</v>
      </c>
      <c r="X16" s="103">
        <v>15</v>
      </c>
      <c r="Y16" s="103">
        <v>0</v>
      </c>
      <c r="Z16" s="103">
        <v>121</v>
      </c>
      <c r="AA16" s="103">
        <v>121</v>
      </c>
      <c r="AB16" s="103">
        <v>142</v>
      </c>
      <c r="AC16" s="103">
        <v>15</v>
      </c>
      <c r="AD16" s="103">
        <v>19</v>
      </c>
      <c r="AE16" s="103">
        <v>33</v>
      </c>
      <c r="AF16" s="103">
        <v>450</v>
      </c>
      <c r="AG16" s="110">
        <f t="shared" si="0"/>
        <v>115.33333333333333</v>
      </c>
      <c r="AH16" s="111">
        <v>10000</v>
      </c>
      <c r="AI16" s="111">
        <f t="shared" si="1"/>
        <v>3460</v>
      </c>
      <c r="AJ16" s="112">
        <f t="shared" si="2"/>
        <v>0.34599999999999997</v>
      </c>
      <c r="AK16" s="113">
        <f t="shared" si="3"/>
        <v>6540</v>
      </c>
    </row>
    <row r="17" spans="1:37" ht="20">
      <c r="A17" s="109" t="s">
        <v>53</v>
      </c>
      <c r="B17" s="98" t="s">
        <v>54</v>
      </c>
      <c r="C17" s="103">
        <v>195</v>
      </c>
      <c r="D17" s="103">
        <v>269</v>
      </c>
      <c r="E17" s="103">
        <v>0</v>
      </c>
      <c r="F17" s="103">
        <v>146</v>
      </c>
      <c r="G17" s="103">
        <v>74</v>
      </c>
      <c r="H17" s="103">
        <v>718</v>
      </c>
      <c r="I17" s="103">
        <v>407</v>
      </c>
      <c r="J17" s="103">
        <v>140</v>
      </c>
      <c r="K17" s="103">
        <v>301</v>
      </c>
      <c r="L17" s="103">
        <v>544</v>
      </c>
      <c r="M17" s="103">
        <v>111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46</v>
      </c>
      <c r="V17" s="103">
        <v>85</v>
      </c>
      <c r="W17" s="103">
        <v>1</v>
      </c>
      <c r="X17" s="103">
        <v>15</v>
      </c>
      <c r="Y17" s="103">
        <v>0</v>
      </c>
      <c r="Z17" s="103">
        <v>13</v>
      </c>
      <c r="AA17" s="103">
        <v>13</v>
      </c>
      <c r="AB17" s="103">
        <v>81</v>
      </c>
      <c r="AC17" s="103">
        <v>69</v>
      </c>
      <c r="AD17" s="103">
        <v>19</v>
      </c>
      <c r="AE17" s="103">
        <v>33</v>
      </c>
      <c r="AF17" s="103">
        <v>445</v>
      </c>
      <c r="AG17" s="110">
        <f t="shared" si="0"/>
        <v>124.16666666666667</v>
      </c>
      <c r="AH17" s="111">
        <v>10000</v>
      </c>
      <c r="AI17" s="111">
        <f t="shared" si="1"/>
        <v>3725</v>
      </c>
      <c r="AJ17" s="112">
        <f t="shared" si="2"/>
        <v>0.3725</v>
      </c>
      <c r="AK17" s="113">
        <f t="shared" si="3"/>
        <v>6275</v>
      </c>
    </row>
    <row r="18" spans="1:37" ht="20">
      <c r="A18" s="99" t="s">
        <v>55</v>
      </c>
      <c r="B18" s="98" t="s">
        <v>68</v>
      </c>
      <c r="C18" s="103">
        <v>1</v>
      </c>
      <c r="D18" s="103">
        <v>0</v>
      </c>
      <c r="E18" s="103">
        <v>0</v>
      </c>
      <c r="F18" s="103">
        <v>0</v>
      </c>
      <c r="G18" s="103">
        <v>1</v>
      </c>
      <c r="H18" s="103">
        <v>128</v>
      </c>
      <c r="I18" s="103">
        <v>304</v>
      </c>
      <c r="J18" s="103">
        <v>81</v>
      </c>
      <c r="K18" s="103">
        <v>219</v>
      </c>
      <c r="L18" s="103">
        <v>180</v>
      </c>
      <c r="M18" s="103">
        <v>102</v>
      </c>
      <c r="N18" s="103">
        <v>183</v>
      </c>
      <c r="O18" s="103">
        <v>193</v>
      </c>
      <c r="P18" s="103">
        <v>21</v>
      </c>
      <c r="Q18" s="103">
        <v>116</v>
      </c>
      <c r="R18" s="103">
        <v>98</v>
      </c>
      <c r="S18" s="103">
        <v>256</v>
      </c>
      <c r="T18" s="103">
        <v>57</v>
      </c>
      <c r="U18" s="103">
        <v>0</v>
      </c>
      <c r="V18" s="103">
        <v>128</v>
      </c>
      <c r="W18" s="103">
        <v>479</v>
      </c>
      <c r="X18" s="103">
        <v>161</v>
      </c>
      <c r="Y18" s="103">
        <v>167</v>
      </c>
      <c r="Z18" s="103">
        <v>335</v>
      </c>
      <c r="AA18" s="103">
        <v>335</v>
      </c>
      <c r="AB18" s="103">
        <v>135</v>
      </c>
      <c r="AC18" s="103">
        <v>1</v>
      </c>
      <c r="AD18" s="103">
        <v>1</v>
      </c>
      <c r="AE18" s="103">
        <v>38</v>
      </c>
      <c r="AF18" s="103">
        <v>13</v>
      </c>
      <c r="AG18" s="110">
        <f t="shared" si="0"/>
        <v>124.43333333333334</v>
      </c>
      <c r="AH18" s="111">
        <v>10000</v>
      </c>
      <c r="AI18" s="111">
        <f t="shared" si="1"/>
        <v>3733</v>
      </c>
      <c r="AJ18" s="112">
        <f t="shared" si="2"/>
        <v>0.37330000000000002</v>
      </c>
      <c r="AK18" s="113">
        <f t="shared" si="3"/>
        <v>6267</v>
      </c>
    </row>
    <row r="19" spans="1:37" ht="20">
      <c r="A19" s="115" t="s">
        <v>58</v>
      </c>
      <c r="B19" s="98" t="s">
        <v>59</v>
      </c>
      <c r="C19" s="103">
        <v>197</v>
      </c>
      <c r="D19" s="103">
        <v>86</v>
      </c>
      <c r="E19" s="103">
        <v>197</v>
      </c>
      <c r="F19" s="103">
        <v>279</v>
      </c>
      <c r="G19" s="103">
        <v>144</v>
      </c>
      <c r="H19" s="103">
        <v>1</v>
      </c>
      <c r="I19" s="103">
        <v>1</v>
      </c>
      <c r="J19" s="103">
        <v>122</v>
      </c>
      <c r="K19" s="103">
        <v>72</v>
      </c>
      <c r="L19" s="103">
        <v>410</v>
      </c>
      <c r="M19" s="103">
        <v>142</v>
      </c>
      <c r="N19" s="103">
        <v>323</v>
      </c>
      <c r="O19" s="103">
        <v>265</v>
      </c>
      <c r="P19" s="103">
        <v>408</v>
      </c>
      <c r="Q19" s="103">
        <v>204</v>
      </c>
      <c r="R19" s="103">
        <v>0</v>
      </c>
      <c r="S19" s="103">
        <v>1</v>
      </c>
      <c r="T19" s="103">
        <v>1</v>
      </c>
      <c r="U19" s="103">
        <v>42</v>
      </c>
      <c r="V19" s="103">
        <v>74</v>
      </c>
      <c r="W19" s="103">
        <v>1</v>
      </c>
      <c r="X19" s="103">
        <v>17</v>
      </c>
      <c r="Y19" s="103">
        <v>0</v>
      </c>
      <c r="Z19" s="103">
        <v>277</v>
      </c>
      <c r="AA19" s="103">
        <v>277</v>
      </c>
      <c r="AB19" s="103">
        <v>82</v>
      </c>
      <c r="AC19" s="103">
        <v>46</v>
      </c>
      <c r="AD19" s="103">
        <v>90</v>
      </c>
      <c r="AE19" s="103">
        <v>526</v>
      </c>
      <c r="AF19" s="103">
        <v>124</v>
      </c>
      <c r="AG19" s="110">
        <f t="shared" si="0"/>
        <v>146.96666666666667</v>
      </c>
      <c r="AH19" s="111">
        <v>10000</v>
      </c>
      <c r="AI19" s="111">
        <f t="shared" si="1"/>
        <v>4409</v>
      </c>
      <c r="AJ19" s="112">
        <f t="shared" si="2"/>
        <v>0.44090000000000001</v>
      </c>
      <c r="AK19" s="113">
        <f t="shared" si="3"/>
        <v>5591</v>
      </c>
    </row>
    <row r="20" spans="1:37" ht="20">
      <c r="A20" s="99" t="s">
        <v>60</v>
      </c>
      <c r="B20" s="98" t="s">
        <v>61</v>
      </c>
      <c r="C20" s="103">
        <v>230</v>
      </c>
      <c r="D20" s="103">
        <v>474</v>
      </c>
      <c r="E20" s="103">
        <v>441</v>
      </c>
      <c r="F20" s="103">
        <v>2</v>
      </c>
      <c r="G20" s="103">
        <v>322</v>
      </c>
      <c r="H20" s="103">
        <v>466</v>
      </c>
      <c r="I20" s="103">
        <v>425</v>
      </c>
      <c r="J20" s="103">
        <v>0</v>
      </c>
      <c r="K20" s="103">
        <v>87</v>
      </c>
      <c r="L20" s="103">
        <v>237</v>
      </c>
      <c r="M20" s="103">
        <v>227</v>
      </c>
      <c r="N20" s="103">
        <v>134</v>
      </c>
      <c r="O20" s="103">
        <v>141</v>
      </c>
      <c r="P20" s="103">
        <v>177</v>
      </c>
      <c r="Q20" s="103">
        <v>184</v>
      </c>
      <c r="R20" s="103">
        <v>394</v>
      </c>
      <c r="S20" s="103">
        <v>4</v>
      </c>
      <c r="T20" s="103">
        <v>27</v>
      </c>
      <c r="U20" s="103">
        <v>1</v>
      </c>
      <c r="V20" s="103">
        <v>212</v>
      </c>
      <c r="W20" s="103">
        <v>172</v>
      </c>
      <c r="X20" s="103">
        <v>347</v>
      </c>
      <c r="Y20" s="103">
        <v>1</v>
      </c>
      <c r="Z20" s="103">
        <v>140</v>
      </c>
      <c r="AA20" s="103">
        <v>140</v>
      </c>
      <c r="AB20" s="103">
        <v>130</v>
      </c>
      <c r="AC20" s="103">
        <v>63</v>
      </c>
      <c r="AD20" s="103">
        <v>1</v>
      </c>
      <c r="AE20" s="103">
        <v>11</v>
      </c>
      <c r="AF20" s="103">
        <v>0</v>
      </c>
      <c r="AG20" s="110">
        <f t="shared" si="0"/>
        <v>173</v>
      </c>
      <c r="AH20" s="111">
        <v>10000</v>
      </c>
      <c r="AI20" s="111">
        <f t="shared" si="1"/>
        <v>5190</v>
      </c>
      <c r="AJ20" s="112">
        <f t="shared" si="2"/>
        <v>0.51900000000000002</v>
      </c>
      <c r="AK20" s="113">
        <f t="shared" si="3"/>
        <v>4810</v>
      </c>
    </row>
    <row r="21" spans="1:37" ht="20">
      <c r="A21" s="99" t="s">
        <v>62</v>
      </c>
      <c r="B21" s="98" t="s">
        <v>63</v>
      </c>
      <c r="C21" s="103">
        <v>1</v>
      </c>
      <c r="D21" s="103">
        <v>87</v>
      </c>
      <c r="E21" s="103">
        <v>265</v>
      </c>
      <c r="F21" s="103">
        <v>198</v>
      </c>
      <c r="G21" s="103">
        <v>146</v>
      </c>
      <c r="H21" s="103">
        <v>207</v>
      </c>
      <c r="I21" s="103">
        <v>314</v>
      </c>
      <c r="J21" s="103">
        <v>547</v>
      </c>
      <c r="K21" s="103">
        <v>142</v>
      </c>
      <c r="L21" s="103">
        <v>479</v>
      </c>
      <c r="M21" s="103">
        <v>444</v>
      </c>
      <c r="N21" s="103">
        <v>287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85</v>
      </c>
      <c r="V21" s="103">
        <v>47</v>
      </c>
      <c r="W21" s="103">
        <v>1</v>
      </c>
      <c r="X21" s="103">
        <v>14</v>
      </c>
      <c r="Y21" s="103">
        <v>197</v>
      </c>
      <c r="Z21" s="103">
        <v>168</v>
      </c>
      <c r="AA21" s="103">
        <v>168</v>
      </c>
      <c r="AB21" s="103">
        <v>108</v>
      </c>
      <c r="AC21" s="103">
        <v>45</v>
      </c>
      <c r="AD21" s="103">
        <v>91</v>
      </c>
      <c r="AE21" s="103">
        <v>169</v>
      </c>
      <c r="AF21" s="103">
        <v>0</v>
      </c>
      <c r="AG21" s="110">
        <f t="shared" si="0"/>
        <v>140.33333333333334</v>
      </c>
      <c r="AH21" s="111">
        <v>10000</v>
      </c>
      <c r="AI21" s="111">
        <f t="shared" si="1"/>
        <v>4210</v>
      </c>
      <c r="AJ21" s="112">
        <f t="shared" si="2"/>
        <v>0.42099999999999999</v>
      </c>
      <c r="AK21" s="113">
        <f t="shared" si="3"/>
        <v>5790</v>
      </c>
    </row>
    <row r="22" spans="1:37" ht="20">
      <c r="A22" s="99" t="s">
        <v>64</v>
      </c>
      <c r="B22" s="98" t="s">
        <v>65</v>
      </c>
      <c r="C22" s="103">
        <v>1</v>
      </c>
      <c r="D22" s="103">
        <v>1</v>
      </c>
      <c r="E22" s="103">
        <v>0</v>
      </c>
      <c r="F22" s="103">
        <v>0</v>
      </c>
      <c r="G22" s="103">
        <v>0</v>
      </c>
      <c r="H22" s="103">
        <v>144</v>
      </c>
      <c r="I22" s="103">
        <v>1</v>
      </c>
      <c r="J22" s="103">
        <v>1</v>
      </c>
      <c r="K22" s="103">
        <v>656</v>
      </c>
      <c r="L22" s="103">
        <v>415</v>
      </c>
      <c r="M22" s="103">
        <v>142</v>
      </c>
      <c r="N22" s="103">
        <v>325</v>
      </c>
      <c r="O22" s="103">
        <v>407</v>
      </c>
      <c r="P22" s="103">
        <v>482</v>
      </c>
      <c r="Q22" s="103">
        <v>0</v>
      </c>
      <c r="R22" s="103">
        <v>0</v>
      </c>
      <c r="S22" s="103">
        <v>0</v>
      </c>
      <c r="T22" s="103">
        <v>0</v>
      </c>
      <c r="U22" s="103">
        <v>17</v>
      </c>
      <c r="V22" s="103">
        <v>117</v>
      </c>
      <c r="W22" s="103">
        <v>1</v>
      </c>
      <c r="X22" s="103">
        <v>16</v>
      </c>
      <c r="Y22" s="103">
        <v>82</v>
      </c>
      <c r="Z22" s="103">
        <v>28</v>
      </c>
      <c r="AA22" s="103">
        <v>28</v>
      </c>
      <c r="AB22" s="103">
        <v>1</v>
      </c>
      <c r="AC22" s="103">
        <v>0</v>
      </c>
      <c r="AD22" s="103">
        <v>114</v>
      </c>
      <c r="AE22" s="103">
        <v>108</v>
      </c>
      <c r="AF22" s="103">
        <v>319</v>
      </c>
      <c r="AG22" s="110">
        <f>AVERAGE(C22:AF22)</f>
        <v>113.53333333333333</v>
      </c>
      <c r="AH22" s="111">
        <v>10000</v>
      </c>
      <c r="AI22" s="111">
        <f t="shared" si="1"/>
        <v>3406</v>
      </c>
      <c r="AJ22" s="112">
        <f t="shared" si="2"/>
        <v>0.34060000000000001</v>
      </c>
      <c r="AK22" s="113">
        <f t="shared" si="3"/>
        <v>6594</v>
      </c>
    </row>
    <row r="23" spans="1:37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10" t="e">
        <f t="shared" si="0"/>
        <v>#DIV/0!</v>
      </c>
      <c r="AH23" s="111">
        <v>10000</v>
      </c>
      <c r="AI23" s="111">
        <f t="shared" si="1"/>
        <v>0</v>
      </c>
      <c r="AJ23" s="112">
        <f>AI23/AH23</f>
        <v>0</v>
      </c>
      <c r="AK23" s="113">
        <f>AH23-AI23</f>
        <v>10000</v>
      </c>
    </row>
    <row r="24" spans="1:37" s="116" customFormat="1" ht="28.5" customHeight="1">
      <c r="B24" s="124" t="s">
        <v>70</v>
      </c>
      <c r="C24" s="118">
        <f t="shared" ref="C24:Q24" si="4">SUM(C6:C22)</f>
        <v>2618</v>
      </c>
      <c r="D24" s="118">
        <f t="shared" si="4"/>
        <v>2264</v>
      </c>
      <c r="E24" s="118">
        <f t="shared" si="4"/>
        <v>2015</v>
      </c>
      <c r="F24" s="118">
        <f t="shared" si="4"/>
        <v>2545</v>
      </c>
      <c r="G24" s="118">
        <f t="shared" si="4"/>
        <v>2649</v>
      </c>
      <c r="H24" s="118">
        <f t="shared" si="4"/>
        <v>3362</v>
      </c>
      <c r="I24" s="118">
        <f t="shared" si="4"/>
        <v>2188</v>
      </c>
      <c r="J24" s="118">
        <f t="shared" si="4"/>
        <v>2342</v>
      </c>
      <c r="K24" s="118">
        <f t="shared" si="4"/>
        <v>4244</v>
      </c>
      <c r="L24" s="118">
        <f t="shared" si="4"/>
        <v>4245</v>
      </c>
      <c r="M24" s="118">
        <f t="shared" si="4"/>
        <v>3292</v>
      </c>
      <c r="N24" s="118">
        <f t="shared" si="4"/>
        <v>2611</v>
      </c>
      <c r="O24" s="118">
        <f t="shared" si="4"/>
        <v>2542</v>
      </c>
      <c r="P24" s="118">
        <f t="shared" si="4"/>
        <v>2249</v>
      </c>
      <c r="Q24" s="118">
        <f t="shared" si="4"/>
        <v>1879</v>
      </c>
      <c r="R24" s="118">
        <f>SUM(Q6:Q22)</f>
        <v>1879</v>
      </c>
      <c r="S24" s="118">
        <f>SUM(R6:R22)</f>
        <v>1883</v>
      </c>
      <c r="T24" s="118">
        <f t="shared" ref="T24:AF24" si="5">SUM(T6:T22)</f>
        <v>1309</v>
      </c>
      <c r="U24" s="118">
        <f t="shared" si="5"/>
        <v>1605</v>
      </c>
      <c r="V24" s="118">
        <f t="shared" si="5"/>
        <v>1991</v>
      </c>
      <c r="W24" s="118">
        <f t="shared" si="5"/>
        <v>1077</v>
      </c>
      <c r="X24" s="118">
        <f t="shared" si="5"/>
        <v>1789</v>
      </c>
      <c r="Y24" s="118">
        <f t="shared" si="5"/>
        <v>1450</v>
      </c>
      <c r="Z24" s="118">
        <f t="shared" si="5"/>
        <v>2294</v>
      </c>
      <c r="AA24" s="118">
        <f t="shared" si="5"/>
        <v>2294</v>
      </c>
      <c r="AB24" s="118">
        <f t="shared" si="5"/>
        <v>1451</v>
      </c>
      <c r="AC24" s="118">
        <f t="shared" si="5"/>
        <v>705</v>
      </c>
      <c r="AD24" s="118">
        <f t="shared" si="5"/>
        <v>990</v>
      </c>
      <c r="AE24" s="118">
        <f t="shared" si="5"/>
        <v>1942</v>
      </c>
      <c r="AF24" s="118">
        <f t="shared" si="5"/>
        <v>2309</v>
      </c>
      <c r="AG24" s="119"/>
      <c r="AH24" s="120">
        <f>SUM(AH6:AH22)</f>
        <v>170000</v>
      </c>
      <c r="AI24" s="121">
        <f>SUM(AI6:AI22)</f>
        <v>65171</v>
      </c>
      <c r="AJ24" s="122">
        <f>AI24/AH24</f>
        <v>0.38335882352941175</v>
      </c>
      <c r="AK24" s="119"/>
    </row>
    <row r="25" spans="1:37" s="116" customFormat="1" ht="28.5" customHeight="1">
      <c r="B25" s="124" t="s">
        <v>83</v>
      </c>
      <c r="C25" s="117">
        <v>3150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9"/>
    </row>
    <row r="26" spans="1:37" s="116" customFormat="1" ht="15">
      <c r="B26" s="124" t="s">
        <v>72</v>
      </c>
      <c r="C26" s="123">
        <f>C27/C28</f>
        <v>0.36361111111111111</v>
      </c>
      <c r="D26" s="123">
        <f t="shared" ref="D26:AF26" si="6">D27/D28</f>
        <v>0.31444444444444447</v>
      </c>
      <c r="E26" s="123">
        <f t="shared" si="6"/>
        <v>0.27986111111111112</v>
      </c>
      <c r="F26" s="123">
        <f t="shared" si="6"/>
        <v>0.35347222222222224</v>
      </c>
      <c r="G26" s="123">
        <f>G27/G28</f>
        <v>0.36791666666666667</v>
      </c>
      <c r="H26" s="123">
        <f t="shared" si="6"/>
        <v>0.46694444444444444</v>
      </c>
      <c r="I26" s="123">
        <f t="shared" si="6"/>
        <v>0.30388888888888888</v>
      </c>
      <c r="J26" s="123">
        <f t="shared" si="6"/>
        <v>0.32527777777777778</v>
      </c>
      <c r="K26" s="123">
        <f t="shared" si="6"/>
        <v>0.58944444444444444</v>
      </c>
      <c r="L26" s="123">
        <f t="shared" si="6"/>
        <v>0.58958333333333335</v>
      </c>
      <c r="M26" s="123">
        <f t="shared" si="6"/>
        <v>0.4572222222222222</v>
      </c>
      <c r="N26" s="123">
        <f t="shared" si="6"/>
        <v>0.3626388888888889</v>
      </c>
      <c r="O26" s="123">
        <f t="shared" si="6"/>
        <v>0.35305555555555557</v>
      </c>
      <c r="P26" s="123">
        <f t="shared" si="6"/>
        <v>0.31236111111111109</v>
      </c>
      <c r="Q26" s="123">
        <f t="shared" si="6"/>
        <v>0.26097222222222222</v>
      </c>
      <c r="R26" s="123">
        <f t="shared" si="6"/>
        <v>0.26097222222222222</v>
      </c>
      <c r="S26" s="123">
        <f t="shared" si="6"/>
        <v>0.2615277777777778</v>
      </c>
      <c r="T26" s="123">
        <f t="shared" si="6"/>
        <v>0.18180555555555555</v>
      </c>
      <c r="U26" s="123">
        <f t="shared" si="6"/>
        <v>0.22291666666666668</v>
      </c>
      <c r="V26" s="123">
        <f t="shared" si="6"/>
        <v>0.27652777777777776</v>
      </c>
      <c r="W26" s="123">
        <f t="shared" si="6"/>
        <v>0.14958333333333335</v>
      </c>
      <c r="X26" s="123">
        <f t="shared" si="6"/>
        <v>0.24847222222222223</v>
      </c>
      <c r="Y26" s="123">
        <f t="shared" si="6"/>
        <v>0.2013888888888889</v>
      </c>
      <c r="Z26" s="123">
        <f t="shared" si="6"/>
        <v>0.31861111111111112</v>
      </c>
      <c r="AA26" s="123">
        <f t="shared" si="6"/>
        <v>0.31861111111111112</v>
      </c>
      <c r="AB26" s="123">
        <f t="shared" si="6"/>
        <v>0.20152777777777778</v>
      </c>
      <c r="AC26" s="123">
        <f t="shared" si="6"/>
        <v>9.7916666666666666E-2</v>
      </c>
      <c r="AD26" s="123">
        <f t="shared" si="6"/>
        <v>0.13750000000000001</v>
      </c>
      <c r="AE26" s="123">
        <f t="shared" si="6"/>
        <v>0.2697222222222222</v>
      </c>
      <c r="AF26" s="123">
        <f t="shared" si="6"/>
        <v>0.32069444444444445</v>
      </c>
      <c r="AG26" s="119"/>
    </row>
    <row r="27" spans="1:37" s="116" customFormat="1" ht="15">
      <c r="B27" s="124" t="s">
        <v>75</v>
      </c>
      <c r="C27" s="118">
        <f>AVERAGE(C6:C22)</f>
        <v>163.625</v>
      </c>
      <c r="D27" s="118">
        <f t="shared" ref="D27:AF27" si="7">AVERAGE(D6:D22)</f>
        <v>141.5</v>
      </c>
      <c r="E27" s="118">
        <f t="shared" si="7"/>
        <v>125.9375</v>
      </c>
      <c r="F27" s="118">
        <f t="shared" si="7"/>
        <v>159.0625</v>
      </c>
      <c r="G27" s="118">
        <f>AVERAGE(G6:G22)</f>
        <v>165.5625</v>
      </c>
      <c r="H27" s="118">
        <f t="shared" si="7"/>
        <v>210.125</v>
      </c>
      <c r="I27" s="118">
        <f t="shared" si="7"/>
        <v>136.75</v>
      </c>
      <c r="J27" s="118">
        <f t="shared" si="7"/>
        <v>146.375</v>
      </c>
      <c r="K27" s="118">
        <f t="shared" si="7"/>
        <v>265.25</v>
      </c>
      <c r="L27" s="118">
        <f t="shared" si="7"/>
        <v>265.3125</v>
      </c>
      <c r="M27" s="118">
        <f t="shared" si="7"/>
        <v>205.75</v>
      </c>
      <c r="N27" s="118">
        <f t="shared" si="7"/>
        <v>163.1875</v>
      </c>
      <c r="O27" s="118">
        <f t="shared" si="7"/>
        <v>158.875</v>
      </c>
      <c r="P27" s="118">
        <f t="shared" si="7"/>
        <v>140.5625</v>
      </c>
      <c r="Q27" s="118">
        <f t="shared" si="7"/>
        <v>117.4375</v>
      </c>
      <c r="R27" s="118">
        <f>AVERAGE(Q6:Q22)</f>
        <v>117.4375</v>
      </c>
      <c r="S27" s="118">
        <f>AVERAGE(R6:R22)</f>
        <v>117.6875</v>
      </c>
      <c r="T27" s="118">
        <f t="shared" si="7"/>
        <v>81.8125</v>
      </c>
      <c r="U27" s="118">
        <f t="shared" si="7"/>
        <v>100.3125</v>
      </c>
      <c r="V27" s="118">
        <f t="shared" si="7"/>
        <v>124.4375</v>
      </c>
      <c r="W27" s="118">
        <f t="shared" si="7"/>
        <v>67.3125</v>
      </c>
      <c r="X27" s="118">
        <f t="shared" si="7"/>
        <v>111.8125</v>
      </c>
      <c r="Y27" s="118">
        <f t="shared" si="7"/>
        <v>90.625</v>
      </c>
      <c r="Z27" s="118">
        <f t="shared" si="7"/>
        <v>143.375</v>
      </c>
      <c r="AA27" s="118">
        <f t="shared" si="7"/>
        <v>143.375</v>
      </c>
      <c r="AB27" s="118">
        <f t="shared" si="7"/>
        <v>90.6875</v>
      </c>
      <c r="AC27" s="118">
        <f t="shared" si="7"/>
        <v>44.0625</v>
      </c>
      <c r="AD27" s="118">
        <f t="shared" si="7"/>
        <v>61.875</v>
      </c>
      <c r="AE27" s="118">
        <f t="shared" si="7"/>
        <v>121.375</v>
      </c>
      <c r="AF27" s="118">
        <f t="shared" si="7"/>
        <v>144.3125</v>
      </c>
      <c r="AG27" s="126"/>
    </row>
    <row r="28" spans="1:37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</row>
  </sheetData>
  <mergeCells count="1">
    <mergeCell ref="C1:AF1"/>
  </mergeCells>
  <conditionalFormatting sqref="A8">
    <cfRule type="duplicateValues" dxfId="39" priority="7"/>
  </conditionalFormatting>
  <conditionalFormatting sqref="A10 A7">
    <cfRule type="duplicateValues" dxfId="38" priority="8"/>
  </conditionalFormatting>
  <conditionalFormatting sqref="A11">
    <cfRule type="duplicateValues" dxfId="37" priority="5"/>
  </conditionalFormatting>
  <conditionalFormatting sqref="A13">
    <cfRule type="duplicateValues" dxfId="36" priority="4"/>
  </conditionalFormatting>
  <conditionalFormatting sqref="A14">
    <cfRule type="duplicateValues" dxfId="35" priority="6"/>
  </conditionalFormatting>
  <conditionalFormatting sqref="A16:A17 A12">
    <cfRule type="duplicateValues" dxfId="34" priority="11"/>
  </conditionalFormatting>
  <conditionalFormatting sqref="A22 A15 A9 A3:A6">
    <cfRule type="duplicateValues" dxfId="33" priority="10"/>
  </conditionalFormatting>
  <conditionalFormatting sqref="A23 A18:A20">
    <cfRule type="duplicateValues" dxfId="32" priority="9"/>
  </conditionalFormatting>
  <conditionalFormatting sqref="C3:AF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K3:AK23">
    <cfRule type="cellIs" dxfId="31" priority="2" operator="lessThan">
      <formula>0</formula>
    </cfRule>
    <cfRule type="cellIs" dxfId="30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1BF8-6AA1-4A88-869D-4BF098797FAB}">
  <dimension ref="A1:AL28"/>
  <sheetViews>
    <sheetView zoomScale="50" zoomScaleNormal="5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AF53" sqref="AF53"/>
    </sheetView>
  </sheetViews>
  <sheetFormatPr defaultRowHeight="14.5"/>
  <cols>
    <col min="1" max="1" width="16" customWidth="1"/>
    <col min="2" max="2" width="39.36328125" customWidth="1"/>
    <col min="3" max="8" width="8.08984375" bestFit="1" customWidth="1"/>
    <col min="9" max="9" width="8.7265625" bestFit="1" customWidth="1"/>
    <col min="10" max="32" width="11.81640625" bestFit="1" customWidth="1"/>
    <col min="33" max="33" width="11.81640625" customWidth="1"/>
    <col min="34" max="34" width="10.6328125" bestFit="1" customWidth="1"/>
    <col min="35" max="35" width="16.08984375" bestFit="1" customWidth="1"/>
    <col min="36" max="36" width="18.6328125" bestFit="1" customWidth="1"/>
    <col min="37" max="37" width="13.36328125" customWidth="1"/>
    <col min="38" max="38" width="13" customWidth="1"/>
  </cols>
  <sheetData>
    <row r="1" spans="1:38" ht="35.25" customHeight="1">
      <c r="B1" s="127" t="s">
        <v>82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157"/>
    </row>
    <row r="2" spans="1:38" ht="73.5" customHeight="1">
      <c r="A2" s="60" t="s">
        <v>4</v>
      </c>
      <c r="B2" s="61" t="s">
        <v>5</v>
      </c>
      <c r="C2" s="100">
        <v>45047</v>
      </c>
      <c r="D2" s="100">
        <v>45048</v>
      </c>
      <c r="E2" s="100">
        <v>45049</v>
      </c>
      <c r="F2" s="100">
        <v>45050</v>
      </c>
      <c r="G2" s="100">
        <v>45051</v>
      </c>
      <c r="H2" s="100">
        <v>45052</v>
      </c>
      <c r="I2" s="100">
        <v>45053</v>
      </c>
      <c r="J2" s="100">
        <v>45054</v>
      </c>
      <c r="K2" s="100">
        <v>45055</v>
      </c>
      <c r="L2" s="100">
        <v>45056</v>
      </c>
      <c r="M2" s="100">
        <v>45057</v>
      </c>
      <c r="N2" s="100">
        <v>45058</v>
      </c>
      <c r="O2" s="100">
        <v>45059</v>
      </c>
      <c r="P2" s="100">
        <v>45060</v>
      </c>
      <c r="Q2" s="100">
        <v>45061</v>
      </c>
      <c r="R2" s="100">
        <v>45062</v>
      </c>
      <c r="S2" s="100">
        <v>45063</v>
      </c>
      <c r="T2" s="100">
        <v>45064</v>
      </c>
      <c r="U2" s="100">
        <v>45065</v>
      </c>
      <c r="V2" s="100">
        <v>45066</v>
      </c>
      <c r="W2" s="100">
        <v>45067</v>
      </c>
      <c r="X2" s="100">
        <v>45068</v>
      </c>
      <c r="Y2" s="100">
        <v>45069</v>
      </c>
      <c r="Z2" s="100">
        <v>45070</v>
      </c>
      <c r="AA2" s="100">
        <v>45071</v>
      </c>
      <c r="AB2" s="100">
        <v>45072</v>
      </c>
      <c r="AC2" s="100">
        <v>45073</v>
      </c>
      <c r="AD2" s="100">
        <v>45074</v>
      </c>
      <c r="AE2" s="100">
        <v>45075</v>
      </c>
      <c r="AF2" s="100">
        <v>45076</v>
      </c>
      <c r="AG2" s="100">
        <v>45077</v>
      </c>
      <c r="AH2" s="101" t="s">
        <v>79</v>
      </c>
      <c r="AI2" s="106" t="s">
        <v>18</v>
      </c>
      <c r="AJ2" s="125" t="s">
        <v>77</v>
      </c>
      <c r="AK2" s="107" t="s">
        <v>20</v>
      </c>
      <c r="AL2" s="108" t="s">
        <v>78</v>
      </c>
    </row>
    <row r="3" spans="1:38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10">
        <f t="shared" ref="AH3:AH23" si="0">AVERAGE(C3:AF3)</f>
        <v>0</v>
      </c>
      <c r="AI3" s="111">
        <v>10000</v>
      </c>
      <c r="AJ3" s="111">
        <f t="shared" ref="AJ3:AJ7" si="1">SUM(C3:AG3)</f>
        <v>0</v>
      </c>
      <c r="AK3" s="112">
        <f>AJ3/AI3</f>
        <v>0</v>
      </c>
      <c r="AL3" s="113">
        <f>AI3-AJ3</f>
        <v>10000</v>
      </c>
    </row>
    <row r="4" spans="1:38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10">
        <f t="shared" si="0"/>
        <v>0</v>
      </c>
      <c r="AI4" s="111">
        <v>10000</v>
      </c>
      <c r="AJ4" s="111">
        <f t="shared" si="1"/>
        <v>0</v>
      </c>
      <c r="AK4" s="112">
        <f t="shared" ref="AK4:AK22" si="2">AJ4/AI4</f>
        <v>0</v>
      </c>
      <c r="AL4" s="113">
        <f t="shared" ref="AL4:AL22" si="3">AI4-AJ4</f>
        <v>10000</v>
      </c>
    </row>
    <row r="5" spans="1:38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10">
        <f t="shared" si="0"/>
        <v>0</v>
      </c>
      <c r="AI5" s="111">
        <v>10000</v>
      </c>
      <c r="AJ5" s="111">
        <f t="shared" si="1"/>
        <v>0</v>
      </c>
      <c r="AK5" s="112">
        <f t="shared" si="2"/>
        <v>0</v>
      </c>
      <c r="AL5" s="113">
        <f t="shared" si="3"/>
        <v>10000</v>
      </c>
    </row>
    <row r="6" spans="1:38" ht="20">
      <c r="A6" s="99" t="s">
        <v>33</v>
      </c>
      <c r="B6" s="98" t="s">
        <v>34</v>
      </c>
      <c r="C6" s="103">
        <v>0</v>
      </c>
      <c r="D6" s="103">
        <v>0</v>
      </c>
      <c r="E6" s="103">
        <v>0</v>
      </c>
      <c r="F6" s="103">
        <v>0</v>
      </c>
      <c r="G6" s="103">
        <v>28</v>
      </c>
      <c r="H6" s="103">
        <v>11</v>
      </c>
      <c r="I6" s="103">
        <v>95</v>
      </c>
      <c r="J6" s="103">
        <v>216</v>
      </c>
      <c r="K6" s="103">
        <v>317</v>
      </c>
      <c r="L6" s="103">
        <v>225</v>
      </c>
      <c r="M6" s="103">
        <v>0</v>
      </c>
      <c r="N6" s="103">
        <v>0</v>
      </c>
      <c r="O6" s="103">
        <v>0</v>
      </c>
      <c r="P6" s="103">
        <v>0</v>
      </c>
      <c r="Q6" s="103">
        <v>0</v>
      </c>
      <c r="R6" s="103">
        <v>0</v>
      </c>
      <c r="S6" s="103">
        <v>85</v>
      </c>
      <c r="T6" s="103">
        <v>316</v>
      </c>
      <c r="U6" s="103">
        <v>87</v>
      </c>
      <c r="V6" s="103">
        <v>0</v>
      </c>
      <c r="W6" s="103">
        <v>0</v>
      </c>
      <c r="X6" s="103">
        <v>0</v>
      </c>
      <c r="Y6" s="103">
        <v>0</v>
      </c>
      <c r="Z6" s="103">
        <v>0</v>
      </c>
      <c r="AA6" s="103">
        <v>0</v>
      </c>
      <c r="AB6" s="103">
        <v>0</v>
      </c>
      <c r="AC6" s="103">
        <v>217</v>
      </c>
      <c r="AD6" s="103">
        <v>219</v>
      </c>
      <c r="AE6" s="103">
        <v>23</v>
      </c>
      <c r="AF6" s="103">
        <v>0</v>
      </c>
      <c r="AG6" s="103">
        <v>19</v>
      </c>
      <c r="AH6" s="110">
        <f t="shared" si="0"/>
        <v>61.3</v>
      </c>
      <c r="AI6" s="111">
        <v>10000</v>
      </c>
      <c r="AJ6" s="111">
        <f t="shared" si="1"/>
        <v>1858</v>
      </c>
      <c r="AK6" s="112">
        <f t="shared" si="2"/>
        <v>0.18579999999999999</v>
      </c>
      <c r="AL6" s="113">
        <f t="shared" si="3"/>
        <v>8142</v>
      </c>
    </row>
    <row r="7" spans="1:38" ht="20">
      <c r="A7" s="99" t="s">
        <v>35</v>
      </c>
      <c r="B7" s="98" t="s">
        <v>36</v>
      </c>
      <c r="C7" s="103">
        <v>0</v>
      </c>
      <c r="D7" s="103">
        <v>41</v>
      </c>
      <c r="E7" s="103">
        <v>520</v>
      </c>
      <c r="F7" s="103">
        <v>181</v>
      </c>
      <c r="G7" s="103">
        <v>226</v>
      </c>
      <c r="H7" s="103">
        <v>19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0</v>
      </c>
      <c r="O7" s="103">
        <v>244</v>
      </c>
      <c r="P7" s="103">
        <v>101</v>
      </c>
      <c r="Q7" s="103">
        <v>50</v>
      </c>
      <c r="R7" s="103">
        <v>436</v>
      </c>
      <c r="S7" s="103">
        <v>311</v>
      </c>
      <c r="T7" s="103">
        <v>432</v>
      </c>
      <c r="U7" s="103">
        <v>295</v>
      </c>
      <c r="V7" s="103">
        <v>185</v>
      </c>
      <c r="W7" s="103">
        <v>170</v>
      </c>
      <c r="X7" s="103">
        <v>45</v>
      </c>
      <c r="Y7" s="103">
        <v>210</v>
      </c>
      <c r="Z7" s="103">
        <v>185</v>
      </c>
      <c r="AA7" s="103">
        <v>473</v>
      </c>
      <c r="AB7" s="103">
        <v>296</v>
      </c>
      <c r="AC7" s="103">
        <v>405</v>
      </c>
      <c r="AD7" s="103">
        <v>296</v>
      </c>
      <c r="AE7" s="103">
        <v>299</v>
      </c>
      <c r="AF7" s="103">
        <v>271</v>
      </c>
      <c r="AG7" s="103">
        <v>243</v>
      </c>
      <c r="AH7" s="110">
        <f t="shared" si="0"/>
        <v>189.7</v>
      </c>
      <c r="AI7" s="111">
        <v>10000</v>
      </c>
      <c r="AJ7" s="111">
        <f t="shared" si="1"/>
        <v>5934</v>
      </c>
      <c r="AK7" s="112">
        <f t="shared" si="2"/>
        <v>0.59340000000000004</v>
      </c>
      <c r="AL7" s="113">
        <f t="shared" si="3"/>
        <v>4066</v>
      </c>
    </row>
    <row r="8" spans="1:38" ht="20">
      <c r="A8" s="99" t="s">
        <v>37</v>
      </c>
      <c r="B8" s="98" t="s">
        <v>73</v>
      </c>
      <c r="C8" s="103">
        <v>61</v>
      </c>
      <c r="D8" s="103">
        <v>148</v>
      </c>
      <c r="E8" s="103">
        <v>0</v>
      </c>
      <c r="F8" s="103">
        <v>0</v>
      </c>
      <c r="G8" s="103">
        <v>33</v>
      </c>
      <c r="H8" s="103">
        <v>140</v>
      </c>
      <c r="I8" s="103">
        <v>76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13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  <c r="AA8" s="103">
        <v>0</v>
      </c>
      <c r="AB8" s="103">
        <v>0</v>
      </c>
      <c r="AC8" s="103">
        <v>0</v>
      </c>
      <c r="AD8" s="103">
        <v>0</v>
      </c>
      <c r="AE8" s="103">
        <v>0</v>
      </c>
      <c r="AF8" s="103">
        <v>0</v>
      </c>
      <c r="AG8" s="103">
        <v>0</v>
      </c>
      <c r="AH8" s="110">
        <f t="shared" si="0"/>
        <v>15.7</v>
      </c>
      <c r="AI8" s="111">
        <v>10000</v>
      </c>
      <c r="AJ8" s="111">
        <f>SUM(C8:AG8)</f>
        <v>471</v>
      </c>
      <c r="AK8" s="112">
        <f t="shared" si="2"/>
        <v>4.7100000000000003E-2</v>
      </c>
      <c r="AL8" s="113">
        <f t="shared" si="3"/>
        <v>9529</v>
      </c>
    </row>
    <row r="9" spans="1:38" ht="20">
      <c r="A9" s="99" t="s">
        <v>38</v>
      </c>
      <c r="B9" s="98" t="s">
        <v>39</v>
      </c>
      <c r="C9" s="103">
        <v>0</v>
      </c>
      <c r="D9" s="103">
        <v>341</v>
      </c>
      <c r="E9" s="103">
        <v>729</v>
      </c>
      <c r="F9" s="103">
        <v>171</v>
      </c>
      <c r="G9" s="103">
        <v>182</v>
      </c>
      <c r="H9" s="103">
        <v>431</v>
      </c>
      <c r="I9" s="103">
        <v>631</v>
      </c>
      <c r="J9" s="103">
        <v>0</v>
      </c>
      <c r="K9" s="103">
        <v>0</v>
      </c>
      <c r="L9" s="103">
        <v>87</v>
      </c>
      <c r="M9" s="103">
        <v>154</v>
      </c>
      <c r="N9" s="103">
        <v>131</v>
      </c>
      <c r="O9" s="103">
        <v>146</v>
      </c>
      <c r="P9" s="103">
        <v>0</v>
      </c>
      <c r="Q9" s="103">
        <v>105</v>
      </c>
      <c r="R9" s="103">
        <v>61</v>
      </c>
      <c r="S9" s="103">
        <v>61</v>
      </c>
      <c r="T9" s="103">
        <v>381</v>
      </c>
      <c r="U9" s="103">
        <v>770</v>
      </c>
      <c r="V9" s="103">
        <v>181</v>
      </c>
      <c r="W9" s="103">
        <v>315</v>
      </c>
      <c r="X9" s="103">
        <v>578</v>
      </c>
      <c r="Y9" s="103">
        <v>352</v>
      </c>
      <c r="Z9" s="103">
        <v>17</v>
      </c>
      <c r="AA9" s="103">
        <v>134</v>
      </c>
      <c r="AB9" s="103">
        <v>0</v>
      </c>
      <c r="AC9" s="103">
        <v>61</v>
      </c>
      <c r="AD9" s="103">
        <v>88</v>
      </c>
      <c r="AE9" s="103">
        <v>346</v>
      </c>
      <c r="AF9" s="103">
        <v>582</v>
      </c>
      <c r="AG9" s="103">
        <v>309</v>
      </c>
      <c r="AH9" s="110">
        <f t="shared" si="0"/>
        <v>234.5</v>
      </c>
      <c r="AI9" s="111">
        <v>10000</v>
      </c>
      <c r="AJ9" s="111">
        <f t="shared" ref="AJ9:AJ23" si="4">SUM(C9:AG9)</f>
        <v>7344</v>
      </c>
      <c r="AK9" s="112">
        <f t="shared" si="2"/>
        <v>0.73440000000000005</v>
      </c>
      <c r="AL9" s="113">
        <f t="shared" si="3"/>
        <v>2656</v>
      </c>
    </row>
    <row r="10" spans="1:38" ht="20">
      <c r="A10" s="114" t="s">
        <v>40</v>
      </c>
      <c r="B10" s="102" t="s">
        <v>68</v>
      </c>
      <c r="C10" s="104"/>
      <c r="D10" s="104"/>
      <c r="E10" s="105"/>
      <c r="F10" s="105"/>
      <c r="G10" s="105"/>
      <c r="H10" s="104"/>
      <c r="I10" s="104"/>
      <c r="J10" s="104"/>
      <c r="K10" s="104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10" t="e">
        <f>AVERAGE(C10:AF10)</f>
        <v>#DIV/0!</v>
      </c>
      <c r="AI10" s="111">
        <v>10000</v>
      </c>
      <c r="AJ10" s="111">
        <f>SUM(C10:AG10)</f>
        <v>0</v>
      </c>
      <c r="AK10" s="112">
        <f>AJ10/AI10</f>
        <v>0</v>
      </c>
      <c r="AL10" s="113">
        <f>AI10-AJ10</f>
        <v>10000</v>
      </c>
    </row>
    <row r="11" spans="1:38" ht="20">
      <c r="A11" s="99" t="s">
        <v>41</v>
      </c>
      <c r="B11" s="98" t="s">
        <v>42</v>
      </c>
      <c r="C11" s="103">
        <v>116</v>
      </c>
      <c r="D11" s="103">
        <v>81</v>
      </c>
      <c r="E11" s="103">
        <v>248</v>
      </c>
      <c r="F11" s="103">
        <v>108</v>
      </c>
      <c r="G11" s="103">
        <v>272</v>
      </c>
      <c r="H11" s="103">
        <v>3</v>
      </c>
      <c r="I11" s="103">
        <v>86</v>
      </c>
      <c r="J11" s="103">
        <v>1</v>
      </c>
      <c r="K11" s="103">
        <v>1</v>
      </c>
      <c r="L11" s="103">
        <v>346</v>
      </c>
      <c r="M11" s="103">
        <v>274</v>
      </c>
      <c r="N11" s="103">
        <v>327</v>
      </c>
      <c r="O11" s="103">
        <v>76</v>
      </c>
      <c r="P11" s="103">
        <v>0</v>
      </c>
      <c r="Q11" s="103">
        <v>0</v>
      </c>
      <c r="R11" s="103">
        <v>11</v>
      </c>
      <c r="S11" s="103">
        <v>1</v>
      </c>
      <c r="T11" s="103">
        <v>171</v>
      </c>
      <c r="U11" s="103">
        <v>1</v>
      </c>
      <c r="V11" s="103">
        <v>0</v>
      </c>
      <c r="W11" s="103">
        <v>4</v>
      </c>
      <c r="X11" s="103">
        <v>5</v>
      </c>
      <c r="Y11" s="103">
        <v>175</v>
      </c>
      <c r="Z11" s="103">
        <v>73</v>
      </c>
      <c r="AA11" s="103">
        <v>0</v>
      </c>
      <c r="AB11" s="103">
        <v>91</v>
      </c>
      <c r="AC11" s="103">
        <v>1</v>
      </c>
      <c r="AD11" s="103">
        <v>88</v>
      </c>
      <c r="AE11" s="103">
        <v>63</v>
      </c>
      <c r="AF11" s="103">
        <v>203</v>
      </c>
      <c r="AG11" s="103">
        <v>202</v>
      </c>
      <c r="AH11" s="110">
        <f t="shared" si="0"/>
        <v>94.2</v>
      </c>
      <c r="AI11" s="111">
        <v>10000</v>
      </c>
      <c r="AJ11" s="111">
        <f t="shared" si="4"/>
        <v>3028</v>
      </c>
      <c r="AK11" s="112">
        <f t="shared" si="2"/>
        <v>0.30280000000000001</v>
      </c>
      <c r="AL11" s="113">
        <f t="shared" si="3"/>
        <v>6972</v>
      </c>
    </row>
    <row r="12" spans="1:38" ht="20">
      <c r="A12" s="99" t="s">
        <v>43</v>
      </c>
      <c r="B12" s="98" t="s">
        <v>44</v>
      </c>
      <c r="C12" s="103">
        <v>163</v>
      </c>
      <c r="D12" s="103">
        <v>3</v>
      </c>
      <c r="E12" s="103">
        <v>221</v>
      </c>
      <c r="F12" s="103">
        <v>454</v>
      </c>
      <c r="G12" s="103">
        <v>425</v>
      </c>
      <c r="H12" s="103">
        <v>110</v>
      </c>
      <c r="I12" s="103">
        <v>0</v>
      </c>
      <c r="J12" s="103">
        <v>0</v>
      </c>
      <c r="K12" s="103">
        <v>0</v>
      </c>
      <c r="L12" s="103">
        <v>87</v>
      </c>
      <c r="M12" s="103">
        <v>151</v>
      </c>
      <c r="N12" s="103">
        <v>128</v>
      </c>
      <c r="O12" s="103">
        <v>134</v>
      </c>
      <c r="P12" s="103">
        <v>0</v>
      </c>
      <c r="Q12" s="103">
        <v>110</v>
      </c>
      <c r="R12" s="103">
        <v>0</v>
      </c>
      <c r="S12" s="103">
        <v>60</v>
      </c>
      <c r="T12" s="103">
        <v>86</v>
      </c>
      <c r="U12" s="103">
        <v>201</v>
      </c>
      <c r="V12" s="103">
        <v>526</v>
      </c>
      <c r="W12" s="103">
        <v>471</v>
      </c>
      <c r="X12" s="103">
        <v>1</v>
      </c>
      <c r="Y12" s="103">
        <v>0</v>
      </c>
      <c r="Z12" s="103">
        <v>0</v>
      </c>
      <c r="AA12" s="103">
        <v>0</v>
      </c>
      <c r="AB12" s="103">
        <v>0</v>
      </c>
      <c r="AC12" s="103">
        <v>0</v>
      </c>
      <c r="AD12" s="103">
        <v>0</v>
      </c>
      <c r="AE12" s="103">
        <v>0</v>
      </c>
      <c r="AF12" s="103">
        <v>0</v>
      </c>
      <c r="AG12" s="103">
        <v>0</v>
      </c>
      <c r="AH12" s="110">
        <f t="shared" si="0"/>
        <v>111.03333333333333</v>
      </c>
      <c r="AI12" s="111">
        <v>10000</v>
      </c>
      <c r="AJ12" s="111">
        <f t="shared" si="4"/>
        <v>3331</v>
      </c>
      <c r="AK12" s="112">
        <f t="shared" si="2"/>
        <v>0.33310000000000001</v>
      </c>
      <c r="AL12" s="113">
        <f t="shared" si="3"/>
        <v>6669</v>
      </c>
    </row>
    <row r="13" spans="1:38" ht="20">
      <c r="A13" s="99" t="s">
        <v>45</v>
      </c>
      <c r="B13" s="98" t="s">
        <v>46</v>
      </c>
      <c r="C13" s="103">
        <v>0</v>
      </c>
      <c r="D13" s="103">
        <v>0</v>
      </c>
      <c r="E13" s="103">
        <v>0</v>
      </c>
      <c r="F13" s="103">
        <v>70</v>
      </c>
      <c r="G13" s="103">
        <v>422</v>
      </c>
      <c r="H13" s="103">
        <v>722</v>
      </c>
      <c r="I13" s="103">
        <v>159</v>
      </c>
      <c r="J13" s="103">
        <v>2</v>
      </c>
      <c r="K13" s="103">
        <v>452</v>
      </c>
      <c r="L13" s="103">
        <v>562</v>
      </c>
      <c r="M13" s="103">
        <v>205</v>
      </c>
      <c r="N13" s="103">
        <v>80</v>
      </c>
      <c r="O13" s="103">
        <v>146</v>
      </c>
      <c r="P13" s="103">
        <v>274</v>
      </c>
      <c r="Q13" s="103">
        <v>157</v>
      </c>
      <c r="R13" s="103">
        <v>85</v>
      </c>
      <c r="S13" s="103">
        <v>99</v>
      </c>
      <c r="T13" s="103">
        <v>59</v>
      </c>
      <c r="U13" s="103">
        <v>146</v>
      </c>
      <c r="V13" s="103">
        <v>272</v>
      </c>
      <c r="W13" s="103">
        <v>722</v>
      </c>
      <c r="X13" s="103">
        <v>222</v>
      </c>
      <c r="Y13" s="103">
        <v>331</v>
      </c>
      <c r="Z13" s="103">
        <v>556</v>
      </c>
      <c r="AA13" s="103">
        <v>323</v>
      </c>
      <c r="AB13" s="103">
        <v>88</v>
      </c>
      <c r="AC13" s="103">
        <v>63</v>
      </c>
      <c r="AD13" s="103">
        <v>0</v>
      </c>
      <c r="AE13" s="103">
        <v>0</v>
      </c>
      <c r="AF13" s="103">
        <v>145</v>
      </c>
      <c r="AG13" s="103">
        <v>2</v>
      </c>
      <c r="AH13" s="110">
        <f t="shared" si="0"/>
        <v>212.06666666666666</v>
      </c>
      <c r="AI13" s="111">
        <v>10000</v>
      </c>
      <c r="AJ13" s="111">
        <f t="shared" si="4"/>
        <v>6364</v>
      </c>
      <c r="AK13" s="112">
        <f t="shared" si="2"/>
        <v>0.63639999999999997</v>
      </c>
      <c r="AL13" s="113">
        <f t="shared" si="3"/>
        <v>3636</v>
      </c>
    </row>
    <row r="14" spans="1:38" ht="20">
      <c r="A14" s="99" t="s">
        <v>47</v>
      </c>
      <c r="B14" s="98" t="s">
        <v>48</v>
      </c>
      <c r="C14" s="103">
        <v>167</v>
      </c>
      <c r="D14" s="103">
        <v>3</v>
      </c>
      <c r="E14" s="103">
        <v>271</v>
      </c>
      <c r="F14" s="103">
        <v>581</v>
      </c>
      <c r="G14" s="103">
        <v>393</v>
      </c>
      <c r="H14" s="103">
        <v>0</v>
      </c>
      <c r="I14" s="103">
        <v>0</v>
      </c>
      <c r="J14" s="103">
        <v>0</v>
      </c>
      <c r="K14" s="103">
        <v>0</v>
      </c>
      <c r="L14" s="103">
        <v>87</v>
      </c>
      <c r="M14" s="103">
        <v>285</v>
      </c>
      <c r="N14" s="103">
        <v>1</v>
      </c>
      <c r="O14" s="103">
        <v>207</v>
      </c>
      <c r="P14" s="103">
        <v>0</v>
      </c>
      <c r="Q14" s="103">
        <v>0</v>
      </c>
      <c r="R14" s="103">
        <v>0</v>
      </c>
      <c r="S14" s="103">
        <v>0</v>
      </c>
      <c r="T14" s="103">
        <v>59</v>
      </c>
      <c r="U14" s="103">
        <v>298</v>
      </c>
      <c r="V14" s="103">
        <v>688</v>
      </c>
      <c r="W14" s="103">
        <v>338</v>
      </c>
      <c r="X14" s="103">
        <v>481</v>
      </c>
      <c r="Y14" s="103">
        <v>552</v>
      </c>
      <c r="Z14" s="103">
        <v>226</v>
      </c>
      <c r="AA14" s="103">
        <v>279</v>
      </c>
      <c r="AB14" s="103">
        <v>385</v>
      </c>
      <c r="AC14" s="103">
        <v>622</v>
      </c>
      <c r="AD14" s="103">
        <v>83</v>
      </c>
      <c r="AE14" s="103">
        <v>0</v>
      </c>
      <c r="AF14" s="103">
        <v>142</v>
      </c>
      <c r="AG14" s="103">
        <v>451</v>
      </c>
      <c r="AH14" s="110">
        <f t="shared" si="0"/>
        <v>204.93333333333334</v>
      </c>
      <c r="AI14" s="111">
        <v>10000</v>
      </c>
      <c r="AJ14" s="111">
        <f t="shared" si="4"/>
        <v>6599</v>
      </c>
      <c r="AK14" s="112">
        <f t="shared" si="2"/>
        <v>0.65990000000000004</v>
      </c>
      <c r="AL14" s="113">
        <f t="shared" si="3"/>
        <v>3401</v>
      </c>
    </row>
    <row r="15" spans="1:38" ht="20">
      <c r="A15" s="99" t="s">
        <v>49</v>
      </c>
      <c r="B15" s="98" t="s">
        <v>50</v>
      </c>
      <c r="C15" s="103">
        <v>0</v>
      </c>
      <c r="D15" s="103">
        <v>125</v>
      </c>
      <c r="E15" s="103">
        <v>159</v>
      </c>
      <c r="F15" s="103">
        <v>262</v>
      </c>
      <c r="G15" s="103">
        <v>1</v>
      </c>
      <c r="H15" s="103">
        <v>283</v>
      </c>
      <c r="I15" s="103">
        <v>85</v>
      </c>
      <c r="J15" s="103">
        <v>150</v>
      </c>
      <c r="K15" s="103">
        <v>503</v>
      </c>
      <c r="L15" s="103">
        <v>379</v>
      </c>
      <c r="M15" s="103">
        <v>174</v>
      </c>
      <c r="N15" s="103">
        <v>178</v>
      </c>
      <c r="O15" s="103">
        <v>379</v>
      </c>
      <c r="P15" s="103">
        <v>458</v>
      </c>
      <c r="Q15" s="103">
        <v>207</v>
      </c>
      <c r="R15" s="103">
        <v>1</v>
      </c>
      <c r="S15" s="103">
        <v>2</v>
      </c>
      <c r="T15" s="103">
        <v>269</v>
      </c>
      <c r="U15" s="103">
        <v>141</v>
      </c>
      <c r="V15" s="103">
        <v>196</v>
      </c>
      <c r="W15" s="103">
        <v>291</v>
      </c>
      <c r="X15" s="103">
        <v>484</v>
      </c>
      <c r="Y15" s="103">
        <v>518</v>
      </c>
      <c r="Z15" s="103">
        <v>5</v>
      </c>
      <c r="AA15" s="103">
        <v>140</v>
      </c>
      <c r="AB15" s="103">
        <v>1</v>
      </c>
      <c r="AC15" s="103">
        <v>38</v>
      </c>
      <c r="AD15" s="103">
        <v>379</v>
      </c>
      <c r="AE15" s="103">
        <v>459</v>
      </c>
      <c r="AF15" s="103">
        <v>204</v>
      </c>
      <c r="AG15" s="103">
        <v>81</v>
      </c>
      <c r="AH15" s="110">
        <f t="shared" si="0"/>
        <v>215.7</v>
      </c>
      <c r="AI15" s="111">
        <v>10000</v>
      </c>
      <c r="AJ15" s="111">
        <f t="shared" si="4"/>
        <v>6552</v>
      </c>
      <c r="AK15" s="112">
        <f t="shared" si="2"/>
        <v>0.6552</v>
      </c>
      <c r="AL15" s="113">
        <f t="shared" si="3"/>
        <v>3448</v>
      </c>
    </row>
    <row r="16" spans="1:38" ht="20">
      <c r="A16" s="99" t="s">
        <v>51</v>
      </c>
      <c r="B16" s="98" t="s">
        <v>52</v>
      </c>
      <c r="C16" s="103">
        <v>0</v>
      </c>
      <c r="D16" s="103">
        <v>0</v>
      </c>
      <c r="E16" s="103">
        <v>0</v>
      </c>
      <c r="F16" s="103">
        <v>0</v>
      </c>
      <c r="G16" s="103">
        <v>1</v>
      </c>
      <c r="H16" s="103">
        <v>85</v>
      </c>
      <c r="I16" s="103">
        <v>0</v>
      </c>
      <c r="J16" s="103">
        <v>136</v>
      </c>
      <c r="K16" s="103">
        <v>555</v>
      </c>
      <c r="L16" s="103">
        <v>274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166</v>
      </c>
      <c r="S16" s="103">
        <v>4</v>
      </c>
      <c r="T16" s="103">
        <v>226</v>
      </c>
      <c r="U16" s="103">
        <v>293</v>
      </c>
      <c r="V16" s="103">
        <v>23</v>
      </c>
      <c r="W16" s="103">
        <v>0</v>
      </c>
      <c r="X16" s="103">
        <v>0</v>
      </c>
      <c r="Y16" s="103">
        <v>146</v>
      </c>
      <c r="Z16" s="103">
        <v>75</v>
      </c>
      <c r="AA16" s="103">
        <v>600</v>
      </c>
      <c r="AB16" s="103">
        <v>396</v>
      </c>
      <c r="AC16" s="103">
        <v>0</v>
      </c>
      <c r="AD16" s="103">
        <v>0</v>
      </c>
      <c r="AE16" s="103">
        <v>0</v>
      </c>
      <c r="AF16" s="103">
        <v>0</v>
      </c>
      <c r="AG16" s="103">
        <v>0</v>
      </c>
      <c r="AH16" s="110">
        <f t="shared" si="0"/>
        <v>99.333333333333329</v>
      </c>
      <c r="AI16" s="111">
        <v>10000</v>
      </c>
      <c r="AJ16" s="111">
        <f t="shared" si="4"/>
        <v>2980</v>
      </c>
      <c r="AK16" s="112">
        <f t="shared" si="2"/>
        <v>0.29799999999999999</v>
      </c>
      <c r="AL16" s="113">
        <f t="shared" si="3"/>
        <v>7020</v>
      </c>
    </row>
    <row r="17" spans="1:38" ht="20">
      <c r="A17" s="109" t="s">
        <v>53</v>
      </c>
      <c r="B17" s="98" t="s">
        <v>54</v>
      </c>
      <c r="C17" s="103">
        <v>293</v>
      </c>
      <c r="D17" s="103">
        <v>17</v>
      </c>
      <c r="E17" s="103">
        <v>0</v>
      </c>
      <c r="F17" s="103">
        <v>0</v>
      </c>
      <c r="G17" s="103">
        <v>0</v>
      </c>
      <c r="H17" s="103">
        <v>0</v>
      </c>
      <c r="I17" s="103">
        <v>0</v>
      </c>
      <c r="J17" s="103">
        <v>0</v>
      </c>
      <c r="K17" s="103">
        <v>0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60</v>
      </c>
      <c r="R17" s="103">
        <v>85</v>
      </c>
      <c r="S17" s="103">
        <v>88</v>
      </c>
      <c r="T17" s="103">
        <v>323</v>
      </c>
      <c r="U17" s="103">
        <v>441</v>
      </c>
      <c r="V17" s="103">
        <v>427</v>
      </c>
      <c r="W17" s="103">
        <v>262</v>
      </c>
      <c r="X17" s="103">
        <v>1</v>
      </c>
      <c r="Y17" s="103">
        <v>258</v>
      </c>
      <c r="Z17" s="103">
        <v>439</v>
      </c>
      <c r="AA17" s="103">
        <v>483</v>
      </c>
      <c r="AB17" s="103">
        <v>282</v>
      </c>
      <c r="AC17" s="103">
        <v>0</v>
      </c>
      <c r="AD17" s="103">
        <v>0</v>
      </c>
      <c r="AE17" s="103">
        <v>0</v>
      </c>
      <c r="AF17" s="103">
        <v>0</v>
      </c>
      <c r="AG17" s="103">
        <v>86</v>
      </c>
      <c r="AH17" s="110">
        <f t="shared" si="0"/>
        <v>115.3</v>
      </c>
      <c r="AI17" s="111">
        <v>10000</v>
      </c>
      <c r="AJ17" s="111">
        <f t="shared" si="4"/>
        <v>3545</v>
      </c>
      <c r="AK17" s="112">
        <f t="shared" si="2"/>
        <v>0.35449999999999998</v>
      </c>
      <c r="AL17" s="113">
        <f t="shared" si="3"/>
        <v>6455</v>
      </c>
    </row>
    <row r="18" spans="1:38" ht="20">
      <c r="A18" s="99" t="s">
        <v>55</v>
      </c>
      <c r="B18" s="98" t="s">
        <v>68</v>
      </c>
      <c r="C18" s="103">
        <v>0</v>
      </c>
      <c r="D18" s="103">
        <v>0</v>
      </c>
      <c r="E18" s="103">
        <v>0</v>
      </c>
      <c r="F18" s="103">
        <v>0</v>
      </c>
      <c r="G18" s="103">
        <v>118</v>
      </c>
      <c r="H18" s="103">
        <v>1</v>
      </c>
      <c r="I18" s="103">
        <v>1</v>
      </c>
      <c r="J18" s="103">
        <v>1</v>
      </c>
      <c r="K18" s="103">
        <v>1</v>
      </c>
      <c r="L18" s="103">
        <v>1</v>
      </c>
      <c r="M18" s="103">
        <v>25</v>
      </c>
      <c r="N18" s="103">
        <v>0</v>
      </c>
      <c r="O18" s="103">
        <v>0</v>
      </c>
      <c r="P18" s="103">
        <v>1</v>
      </c>
      <c r="Q18" s="103">
        <v>1</v>
      </c>
      <c r="R18" s="103">
        <v>1</v>
      </c>
      <c r="S18" s="103">
        <v>2</v>
      </c>
      <c r="T18" s="103">
        <v>1</v>
      </c>
      <c r="U18" s="103">
        <v>1</v>
      </c>
      <c r="V18" s="103">
        <v>1</v>
      </c>
      <c r="W18" s="103">
        <v>179</v>
      </c>
      <c r="X18" s="103">
        <v>322</v>
      </c>
      <c r="Y18" s="103">
        <v>335</v>
      </c>
      <c r="Z18" s="103">
        <v>361</v>
      </c>
      <c r="AA18" s="103">
        <v>13</v>
      </c>
      <c r="AB18" s="103">
        <v>0</v>
      </c>
      <c r="AC18" s="103">
        <v>1</v>
      </c>
      <c r="AD18" s="103">
        <v>105</v>
      </c>
      <c r="AE18" s="103">
        <v>302</v>
      </c>
      <c r="AF18" s="103">
        <v>182</v>
      </c>
      <c r="AG18" s="103">
        <v>0</v>
      </c>
      <c r="AH18" s="110">
        <f t="shared" si="0"/>
        <v>65.2</v>
      </c>
      <c r="AI18" s="111">
        <v>10000</v>
      </c>
      <c r="AJ18" s="111">
        <f t="shared" si="4"/>
        <v>1956</v>
      </c>
      <c r="AK18" s="112">
        <f t="shared" si="2"/>
        <v>0.1956</v>
      </c>
      <c r="AL18" s="113">
        <f t="shared" si="3"/>
        <v>8044</v>
      </c>
    </row>
    <row r="19" spans="1:38" ht="20">
      <c r="A19" s="115" t="s">
        <v>58</v>
      </c>
      <c r="B19" s="98" t="s">
        <v>59</v>
      </c>
      <c r="C19" s="103">
        <v>166</v>
      </c>
      <c r="D19" s="103">
        <v>4</v>
      </c>
      <c r="E19" s="103">
        <v>223</v>
      </c>
      <c r="F19" s="103">
        <v>454</v>
      </c>
      <c r="G19" s="103">
        <v>427</v>
      </c>
      <c r="H19" s="103">
        <v>110</v>
      </c>
      <c r="I19" s="103">
        <v>0</v>
      </c>
      <c r="J19" s="103">
        <v>0</v>
      </c>
      <c r="K19" s="103">
        <v>0</v>
      </c>
      <c r="L19" s="103">
        <v>86</v>
      </c>
      <c r="M19" s="103">
        <v>152</v>
      </c>
      <c r="N19" s="103">
        <v>128</v>
      </c>
      <c r="O19" s="103">
        <v>212</v>
      </c>
      <c r="P19" s="103">
        <v>70</v>
      </c>
      <c r="Q19" s="103">
        <v>87</v>
      </c>
      <c r="R19" s="103">
        <v>504</v>
      </c>
      <c r="S19" s="103">
        <v>571</v>
      </c>
      <c r="T19" s="103">
        <v>105</v>
      </c>
      <c r="U19" s="103">
        <v>458</v>
      </c>
      <c r="V19" s="103">
        <v>468</v>
      </c>
      <c r="W19" s="103">
        <v>292</v>
      </c>
      <c r="X19" s="103">
        <v>1</v>
      </c>
      <c r="Y19" s="103">
        <v>0</v>
      </c>
      <c r="Z19" s="103">
        <v>0</v>
      </c>
      <c r="AA19" s="103">
        <v>0</v>
      </c>
      <c r="AB19" s="103">
        <v>183</v>
      </c>
      <c r="AC19" s="103">
        <v>446</v>
      </c>
      <c r="AD19" s="103">
        <v>140</v>
      </c>
      <c r="AE19" s="103">
        <v>177</v>
      </c>
      <c r="AF19" s="103">
        <v>416</v>
      </c>
      <c r="AG19" s="103">
        <v>413</v>
      </c>
      <c r="AH19" s="110">
        <f t="shared" si="0"/>
        <v>196</v>
      </c>
      <c r="AI19" s="111">
        <v>10000</v>
      </c>
      <c r="AJ19" s="111">
        <f t="shared" si="4"/>
        <v>6293</v>
      </c>
      <c r="AK19" s="112">
        <f t="shared" si="2"/>
        <v>0.62929999999999997</v>
      </c>
      <c r="AL19" s="113">
        <f t="shared" si="3"/>
        <v>3707</v>
      </c>
    </row>
    <row r="20" spans="1:38" ht="20">
      <c r="A20" s="99" t="s">
        <v>60</v>
      </c>
      <c r="B20" s="98" t="s">
        <v>61</v>
      </c>
      <c r="C20" s="103">
        <v>0</v>
      </c>
      <c r="D20" s="103">
        <v>92</v>
      </c>
      <c r="E20" s="103">
        <v>163</v>
      </c>
      <c r="F20" s="103">
        <v>211</v>
      </c>
      <c r="G20" s="103">
        <v>601</v>
      </c>
      <c r="H20" s="103">
        <v>413</v>
      </c>
      <c r="I20" s="103">
        <v>3</v>
      </c>
      <c r="J20" s="103">
        <v>175</v>
      </c>
      <c r="K20" s="103">
        <v>395</v>
      </c>
      <c r="L20" s="103">
        <v>352</v>
      </c>
      <c r="M20" s="103">
        <v>302</v>
      </c>
      <c r="N20" s="103">
        <v>56</v>
      </c>
      <c r="O20" s="103">
        <v>187</v>
      </c>
      <c r="P20" s="103">
        <v>258</v>
      </c>
      <c r="Q20" s="103">
        <v>118</v>
      </c>
      <c r="R20" s="103">
        <v>0</v>
      </c>
      <c r="S20" s="103">
        <v>0</v>
      </c>
      <c r="T20" s="103">
        <v>0</v>
      </c>
      <c r="U20" s="103">
        <v>0</v>
      </c>
      <c r="V20" s="103">
        <v>148</v>
      </c>
      <c r="W20" s="103">
        <v>254</v>
      </c>
      <c r="X20" s="103">
        <v>559</v>
      </c>
      <c r="Y20" s="103">
        <v>404</v>
      </c>
      <c r="Z20" s="103">
        <v>182</v>
      </c>
      <c r="AA20" s="103">
        <v>0</v>
      </c>
      <c r="AB20" s="103">
        <v>182</v>
      </c>
      <c r="AC20" s="103">
        <v>140</v>
      </c>
      <c r="AD20" s="103">
        <v>94</v>
      </c>
      <c r="AE20" s="103">
        <v>208</v>
      </c>
      <c r="AF20" s="103">
        <v>206</v>
      </c>
      <c r="AG20" s="103">
        <v>168</v>
      </c>
      <c r="AH20" s="110">
        <f t="shared" si="0"/>
        <v>190.1</v>
      </c>
      <c r="AI20" s="111">
        <v>10000</v>
      </c>
      <c r="AJ20" s="111">
        <f t="shared" si="4"/>
        <v>5871</v>
      </c>
      <c r="AK20" s="112">
        <f t="shared" si="2"/>
        <v>0.58709999999999996</v>
      </c>
      <c r="AL20" s="113">
        <f t="shared" si="3"/>
        <v>4129</v>
      </c>
    </row>
    <row r="21" spans="1:38" ht="20">
      <c r="A21" s="99" t="s">
        <v>62</v>
      </c>
      <c r="B21" s="98" t="s">
        <v>63</v>
      </c>
      <c r="C21" s="103">
        <v>222</v>
      </c>
      <c r="D21" s="103">
        <v>3</v>
      </c>
      <c r="E21" s="103">
        <v>224</v>
      </c>
      <c r="F21" s="103">
        <v>457</v>
      </c>
      <c r="G21" s="103">
        <v>424</v>
      </c>
      <c r="H21" s="103">
        <v>112</v>
      </c>
      <c r="I21" s="103">
        <v>0</v>
      </c>
      <c r="J21" s="103">
        <v>1</v>
      </c>
      <c r="K21" s="103">
        <v>0</v>
      </c>
      <c r="L21" s="103">
        <v>64</v>
      </c>
      <c r="M21" s="103">
        <v>210</v>
      </c>
      <c r="N21" s="103">
        <v>71</v>
      </c>
      <c r="O21" s="103">
        <v>202</v>
      </c>
      <c r="P21" s="103">
        <v>60</v>
      </c>
      <c r="Q21" s="103">
        <v>86</v>
      </c>
      <c r="R21" s="103">
        <v>522</v>
      </c>
      <c r="S21" s="103">
        <v>540</v>
      </c>
      <c r="T21" s="103">
        <v>138</v>
      </c>
      <c r="U21" s="103">
        <v>478</v>
      </c>
      <c r="V21" s="103">
        <v>439</v>
      </c>
      <c r="W21" s="103">
        <v>291</v>
      </c>
      <c r="X21" s="103">
        <v>1</v>
      </c>
      <c r="Y21" s="103">
        <v>133</v>
      </c>
      <c r="Z21" s="103">
        <v>143</v>
      </c>
      <c r="AA21" s="103">
        <v>249</v>
      </c>
      <c r="AB21" s="103">
        <v>597</v>
      </c>
      <c r="AC21" s="103">
        <v>370</v>
      </c>
      <c r="AD21" s="103">
        <v>37</v>
      </c>
      <c r="AE21" s="103">
        <v>326</v>
      </c>
      <c r="AF21" s="103">
        <v>361</v>
      </c>
      <c r="AG21" s="103">
        <v>342</v>
      </c>
      <c r="AH21" s="110">
        <f t="shared" si="0"/>
        <v>225.36666666666667</v>
      </c>
      <c r="AI21" s="111">
        <v>10000</v>
      </c>
      <c r="AJ21" s="111">
        <f t="shared" si="4"/>
        <v>7103</v>
      </c>
      <c r="AK21" s="112">
        <f t="shared" si="2"/>
        <v>0.71030000000000004</v>
      </c>
      <c r="AL21" s="113">
        <f t="shared" si="3"/>
        <v>2897</v>
      </c>
    </row>
    <row r="22" spans="1:38" ht="20">
      <c r="A22" s="99" t="s">
        <v>64</v>
      </c>
      <c r="B22" s="98" t="s">
        <v>65</v>
      </c>
      <c r="C22" s="103">
        <v>0</v>
      </c>
      <c r="D22" s="103">
        <v>126</v>
      </c>
      <c r="E22" s="103">
        <v>160</v>
      </c>
      <c r="F22" s="103">
        <v>262</v>
      </c>
      <c r="G22" s="103">
        <v>1</v>
      </c>
      <c r="H22" s="103">
        <v>280</v>
      </c>
      <c r="I22" s="103">
        <v>87</v>
      </c>
      <c r="J22" s="103">
        <v>142</v>
      </c>
      <c r="K22" s="103">
        <v>511</v>
      </c>
      <c r="L22" s="103">
        <v>374</v>
      </c>
      <c r="M22" s="103">
        <v>175</v>
      </c>
      <c r="N22" s="103">
        <v>177</v>
      </c>
      <c r="O22" s="103">
        <v>379</v>
      </c>
      <c r="P22" s="103">
        <v>461</v>
      </c>
      <c r="Q22" s="103">
        <v>206</v>
      </c>
      <c r="R22" s="103">
        <v>1</v>
      </c>
      <c r="S22" s="103">
        <v>2</v>
      </c>
      <c r="T22" s="103">
        <v>265</v>
      </c>
      <c r="U22" s="103">
        <v>141</v>
      </c>
      <c r="V22" s="103">
        <v>133</v>
      </c>
      <c r="W22" s="103">
        <v>0</v>
      </c>
      <c r="X22" s="103">
        <v>0</v>
      </c>
      <c r="Y22" s="103">
        <v>144</v>
      </c>
      <c r="Z22" s="103">
        <v>1</v>
      </c>
      <c r="AA22" s="103">
        <v>620</v>
      </c>
      <c r="AB22" s="103">
        <v>365</v>
      </c>
      <c r="AC22" s="103">
        <v>221</v>
      </c>
      <c r="AD22" s="103">
        <v>167</v>
      </c>
      <c r="AE22" s="103">
        <v>310</v>
      </c>
      <c r="AF22" s="103">
        <v>400</v>
      </c>
      <c r="AG22" s="103">
        <v>101</v>
      </c>
      <c r="AH22" s="110">
        <f t="shared" si="0"/>
        <v>203.7</v>
      </c>
      <c r="AI22" s="111">
        <v>10000</v>
      </c>
      <c r="AJ22" s="111">
        <f t="shared" si="4"/>
        <v>6212</v>
      </c>
      <c r="AK22" s="112">
        <f t="shared" si="2"/>
        <v>0.62119999999999997</v>
      </c>
      <c r="AL22" s="113">
        <f t="shared" si="3"/>
        <v>3788</v>
      </c>
    </row>
    <row r="23" spans="1:38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10" t="e">
        <f t="shared" si="0"/>
        <v>#DIV/0!</v>
      </c>
      <c r="AI23" s="111">
        <v>10000</v>
      </c>
      <c r="AJ23" s="111">
        <f t="shared" si="4"/>
        <v>0</v>
      </c>
      <c r="AK23" s="112">
        <f>AJ23/AI23</f>
        <v>0</v>
      </c>
      <c r="AL23" s="113">
        <f>AI23-AJ23</f>
        <v>10000</v>
      </c>
    </row>
    <row r="24" spans="1:38" s="116" customFormat="1" ht="28.5" customHeight="1">
      <c r="B24" s="124" t="s">
        <v>70</v>
      </c>
      <c r="C24" s="118">
        <f t="shared" ref="C24:Q24" si="5">SUM(C6:C22)</f>
        <v>1188</v>
      </c>
      <c r="D24" s="118">
        <f t="shared" si="5"/>
        <v>984</v>
      </c>
      <c r="E24" s="118">
        <f t="shared" si="5"/>
        <v>2918</v>
      </c>
      <c r="F24" s="118">
        <f t="shared" si="5"/>
        <v>3211</v>
      </c>
      <c r="G24" s="118">
        <f t="shared" si="5"/>
        <v>3554</v>
      </c>
      <c r="H24" s="118">
        <f t="shared" si="5"/>
        <v>2720</v>
      </c>
      <c r="I24" s="118">
        <f t="shared" si="5"/>
        <v>1223</v>
      </c>
      <c r="J24" s="118">
        <f t="shared" si="5"/>
        <v>824</v>
      </c>
      <c r="K24" s="118">
        <f t="shared" si="5"/>
        <v>2735</v>
      </c>
      <c r="L24" s="118">
        <f t="shared" si="5"/>
        <v>2924</v>
      </c>
      <c r="M24" s="118">
        <f t="shared" si="5"/>
        <v>2107</v>
      </c>
      <c r="N24" s="118">
        <f t="shared" si="5"/>
        <v>1277</v>
      </c>
      <c r="O24" s="118">
        <f t="shared" si="5"/>
        <v>2325</v>
      </c>
      <c r="P24" s="118">
        <f t="shared" si="5"/>
        <v>1683</v>
      </c>
      <c r="Q24" s="118">
        <f t="shared" si="5"/>
        <v>1187</v>
      </c>
      <c r="R24" s="118">
        <f>SUM(Q6:Q22)</f>
        <v>1187</v>
      </c>
      <c r="S24" s="118">
        <f>SUM(R6:R22)</f>
        <v>1873</v>
      </c>
      <c r="T24" s="118">
        <f t="shared" ref="T24:AF24" si="6">SUM(T6:T22)</f>
        <v>2831</v>
      </c>
      <c r="U24" s="118">
        <f t="shared" si="6"/>
        <v>3751</v>
      </c>
      <c r="V24" s="118">
        <f t="shared" si="6"/>
        <v>3687</v>
      </c>
      <c r="W24" s="118">
        <f t="shared" si="6"/>
        <v>3589</v>
      </c>
      <c r="X24" s="118">
        <f t="shared" si="6"/>
        <v>2700</v>
      </c>
      <c r="Y24" s="118">
        <f t="shared" si="6"/>
        <v>3558</v>
      </c>
      <c r="Z24" s="118">
        <f t="shared" si="6"/>
        <v>2263</v>
      </c>
      <c r="AA24" s="118">
        <f t="shared" si="6"/>
        <v>3314</v>
      </c>
      <c r="AB24" s="118">
        <f t="shared" si="6"/>
        <v>2866</v>
      </c>
      <c r="AC24" s="118">
        <f t="shared" si="6"/>
        <v>2585</v>
      </c>
      <c r="AD24" s="118">
        <f t="shared" si="6"/>
        <v>1696</v>
      </c>
      <c r="AE24" s="118">
        <f t="shared" si="6"/>
        <v>2513</v>
      </c>
      <c r="AF24" s="118">
        <f t="shared" si="6"/>
        <v>3112</v>
      </c>
      <c r="AG24" s="118"/>
      <c r="AH24" s="119"/>
      <c r="AI24" s="120">
        <f>SUM(AI6:AI22)</f>
        <v>170000</v>
      </c>
      <c r="AJ24" s="121">
        <f>SUM(AJ6:AJ22)</f>
        <v>75441</v>
      </c>
      <c r="AK24" s="122">
        <f>AJ24/AI24</f>
        <v>0.44377058823529414</v>
      </c>
      <c r="AL24" s="119"/>
    </row>
    <row r="25" spans="1:38" s="116" customFormat="1" ht="28.5" customHeight="1">
      <c r="B25" s="124" t="s">
        <v>83</v>
      </c>
      <c r="C25" s="117">
        <v>3150</v>
      </c>
      <c r="D25" s="117">
        <v>3150</v>
      </c>
      <c r="E25" s="117">
        <v>3150</v>
      </c>
      <c r="F25" s="117">
        <v>3150</v>
      </c>
      <c r="G25" s="117">
        <v>3150</v>
      </c>
      <c r="H25" s="117">
        <v>3150</v>
      </c>
      <c r="I25" s="117">
        <v>3150</v>
      </c>
      <c r="J25" s="117">
        <v>3150</v>
      </c>
      <c r="K25" s="117">
        <v>3150</v>
      </c>
      <c r="L25" s="117">
        <v>3150</v>
      </c>
      <c r="M25" s="117">
        <v>3150</v>
      </c>
      <c r="N25" s="117">
        <v>3150</v>
      </c>
      <c r="O25" s="117">
        <v>3150</v>
      </c>
      <c r="P25" s="117">
        <v>3150</v>
      </c>
      <c r="Q25" s="117">
        <v>3150</v>
      </c>
      <c r="R25" s="117">
        <v>3150</v>
      </c>
      <c r="S25" s="117">
        <v>3150</v>
      </c>
      <c r="T25" s="117">
        <v>3150</v>
      </c>
      <c r="U25" s="117">
        <v>3150</v>
      </c>
      <c r="V25" s="117">
        <v>3150</v>
      </c>
      <c r="W25" s="117">
        <v>3150</v>
      </c>
      <c r="X25" s="117">
        <v>3150</v>
      </c>
      <c r="Y25" s="117">
        <v>3150</v>
      </c>
      <c r="Z25" s="117">
        <v>3150</v>
      </c>
      <c r="AA25" s="117">
        <v>3150</v>
      </c>
      <c r="AB25" s="117">
        <v>3150</v>
      </c>
      <c r="AC25" s="117">
        <v>3150</v>
      </c>
      <c r="AD25" s="117">
        <v>3150</v>
      </c>
      <c r="AE25" s="117">
        <v>3150</v>
      </c>
      <c r="AF25" s="117">
        <v>3150</v>
      </c>
      <c r="AG25" s="117"/>
      <c r="AH25" s="119"/>
    </row>
    <row r="26" spans="1:38" s="116" customFormat="1" ht="15">
      <c r="B26" s="124" t="s">
        <v>72</v>
      </c>
      <c r="C26" s="123">
        <f>C27/C28</f>
        <v>0.16500000000000001</v>
      </c>
      <c r="D26" s="123">
        <f t="shared" ref="D26:AF26" si="7">D27/D28</f>
        <v>0.13666666666666666</v>
      </c>
      <c r="E26" s="123">
        <f t="shared" si="7"/>
        <v>0.40527777777777779</v>
      </c>
      <c r="F26" s="123">
        <f t="shared" si="7"/>
        <v>0.44597222222222221</v>
      </c>
      <c r="G26" s="123">
        <f>G27/G28</f>
        <v>0.49361111111111111</v>
      </c>
      <c r="H26" s="123">
        <f t="shared" si="7"/>
        <v>0.37777777777777777</v>
      </c>
      <c r="I26" s="123">
        <f t="shared" si="7"/>
        <v>0.1698611111111111</v>
      </c>
      <c r="J26" s="123">
        <f t="shared" si="7"/>
        <v>0.11444444444444445</v>
      </c>
      <c r="K26" s="123">
        <f t="shared" si="7"/>
        <v>0.37986111111111109</v>
      </c>
      <c r="L26" s="123">
        <f t="shared" si="7"/>
        <v>0.40611111111111109</v>
      </c>
      <c r="M26" s="123">
        <f t="shared" si="7"/>
        <v>0.29263888888888889</v>
      </c>
      <c r="N26" s="123">
        <f t="shared" si="7"/>
        <v>0.17736111111111111</v>
      </c>
      <c r="O26" s="123">
        <f t="shared" si="7"/>
        <v>0.32291666666666669</v>
      </c>
      <c r="P26" s="123">
        <f t="shared" si="7"/>
        <v>0.23375000000000001</v>
      </c>
      <c r="Q26" s="123">
        <f t="shared" si="7"/>
        <v>0.16486111111111112</v>
      </c>
      <c r="R26" s="123">
        <f t="shared" si="7"/>
        <v>0.16486111111111112</v>
      </c>
      <c r="S26" s="123">
        <f t="shared" si="7"/>
        <v>0.26013888888888886</v>
      </c>
      <c r="T26" s="123">
        <f t="shared" si="7"/>
        <v>0.39319444444444446</v>
      </c>
      <c r="U26" s="123">
        <f t="shared" si="7"/>
        <v>0.52097222222222217</v>
      </c>
      <c r="V26" s="123">
        <f t="shared" si="7"/>
        <v>0.51208333333333333</v>
      </c>
      <c r="W26" s="123">
        <f t="shared" si="7"/>
        <v>0.49847222222222221</v>
      </c>
      <c r="X26" s="123">
        <f t="shared" si="7"/>
        <v>0.375</v>
      </c>
      <c r="Y26" s="123">
        <f t="shared" si="7"/>
        <v>0.49416666666666664</v>
      </c>
      <c r="Z26" s="123">
        <f t="shared" si="7"/>
        <v>0.31430555555555556</v>
      </c>
      <c r="AA26" s="123">
        <f t="shared" si="7"/>
        <v>0.46027777777777779</v>
      </c>
      <c r="AB26" s="123">
        <f t="shared" si="7"/>
        <v>0.39805555555555555</v>
      </c>
      <c r="AC26" s="123">
        <f t="shared" si="7"/>
        <v>0.35902777777777778</v>
      </c>
      <c r="AD26" s="123">
        <f t="shared" si="7"/>
        <v>0.23555555555555555</v>
      </c>
      <c r="AE26" s="123">
        <f t="shared" si="7"/>
        <v>0.34902777777777777</v>
      </c>
      <c r="AF26" s="123">
        <f t="shared" si="7"/>
        <v>0.43222222222222223</v>
      </c>
      <c r="AG26" s="123"/>
      <c r="AH26" s="119"/>
    </row>
    <row r="27" spans="1:38" s="116" customFormat="1" ht="15">
      <c r="B27" s="124" t="s">
        <v>75</v>
      </c>
      <c r="C27" s="118">
        <f>AVERAGE(C6:C22)</f>
        <v>74.25</v>
      </c>
      <c r="D27" s="118">
        <f t="shared" ref="D27:AF27" si="8">AVERAGE(D6:D22)</f>
        <v>61.5</v>
      </c>
      <c r="E27" s="118">
        <f t="shared" si="8"/>
        <v>182.375</v>
      </c>
      <c r="F27" s="118">
        <f t="shared" si="8"/>
        <v>200.6875</v>
      </c>
      <c r="G27" s="118">
        <f>AVERAGE(G6:G22)</f>
        <v>222.125</v>
      </c>
      <c r="H27" s="118">
        <f t="shared" si="8"/>
        <v>170</v>
      </c>
      <c r="I27" s="118">
        <f t="shared" si="8"/>
        <v>76.4375</v>
      </c>
      <c r="J27" s="118">
        <f t="shared" si="8"/>
        <v>51.5</v>
      </c>
      <c r="K27" s="118">
        <f t="shared" si="8"/>
        <v>170.9375</v>
      </c>
      <c r="L27" s="118">
        <f t="shared" si="8"/>
        <v>182.75</v>
      </c>
      <c r="M27" s="118">
        <f t="shared" si="8"/>
        <v>131.6875</v>
      </c>
      <c r="N27" s="118">
        <f t="shared" si="8"/>
        <v>79.8125</v>
      </c>
      <c r="O27" s="118">
        <f t="shared" si="8"/>
        <v>145.3125</v>
      </c>
      <c r="P27" s="118">
        <f t="shared" si="8"/>
        <v>105.1875</v>
      </c>
      <c r="Q27" s="118">
        <f t="shared" si="8"/>
        <v>74.1875</v>
      </c>
      <c r="R27" s="118">
        <f>AVERAGE(Q6:Q22)</f>
        <v>74.1875</v>
      </c>
      <c r="S27" s="118">
        <f>AVERAGE(R6:R22)</f>
        <v>117.0625</v>
      </c>
      <c r="T27" s="118">
        <f t="shared" si="8"/>
        <v>176.9375</v>
      </c>
      <c r="U27" s="118">
        <f t="shared" si="8"/>
        <v>234.4375</v>
      </c>
      <c r="V27" s="118">
        <f t="shared" si="8"/>
        <v>230.4375</v>
      </c>
      <c r="W27" s="118">
        <f t="shared" si="8"/>
        <v>224.3125</v>
      </c>
      <c r="X27" s="118">
        <f t="shared" si="8"/>
        <v>168.75</v>
      </c>
      <c r="Y27" s="118">
        <f t="shared" si="8"/>
        <v>222.375</v>
      </c>
      <c r="Z27" s="118">
        <f t="shared" si="8"/>
        <v>141.4375</v>
      </c>
      <c r="AA27" s="118">
        <f t="shared" si="8"/>
        <v>207.125</v>
      </c>
      <c r="AB27" s="118">
        <f t="shared" si="8"/>
        <v>179.125</v>
      </c>
      <c r="AC27" s="118">
        <f t="shared" si="8"/>
        <v>161.5625</v>
      </c>
      <c r="AD27" s="118">
        <f t="shared" si="8"/>
        <v>106</v>
      </c>
      <c r="AE27" s="118">
        <f t="shared" si="8"/>
        <v>157.0625</v>
      </c>
      <c r="AF27" s="118">
        <f t="shared" si="8"/>
        <v>194.5</v>
      </c>
      <c r="AG27" s="158"/>
      <c r="AH27" s="126"/>
    </row>
    <row r="28" spans="1:38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59"/>
    </row>
  </sheetData>
  <mergeCells count="1">
    <mergeCell ref="C1:AF1"/>
  </mergeCells>
  <conditionalFormatting sqref="A8">
    <cfRule type="duplicateValues" dxfId="29" priority="7"/>
  </conditionalFormatting>
  <conditionalFormatting sqref="A10 A7">
    <cfRule type="duplicateValues" dxfId="28" priority="8"/>
  </conditionalFormatting>
  <conditionalFormatting sqref="A11">
    <cfRule type="duplicateValues" dxfId="27" priority="5"/>
  </conditionalFormatting>
  <conditionalFormatting sqref="A13">
    <cfRule type="duplicateValues" dxfId="26" priority="4"/>
  </conditionalFormatting>
  <conditionalFormatting sqref="A14">
    <cfRule type="duplicateValues" dxfId="25" priority="6"/>
  </conditionalFormatting>
  <conditionalFormatting sqref="A16:A17 A12">
    <cfRule type="duplicateValues" dxfId="24" priority="11"/>
  </conditionalFormatting>
  <conditionalFormatting sqref="A22 A15 A9 A3:A6">
    <cfRule type="duplicateValues" dxfId="23" priority="10"/>
  </conditionalFormatting>
  <conditionalFormatting sqref="A23 A18:A20">
    <cfRule type="duplicateValues" dxfId="22" priority="9"/>
  </conditionalFormatting>
  <conditionalFormatting sqref="C3:AG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L3:AL23">
    <cfRule type="cellIs" dxfId="21" priority="2" operator="lessThan">
      <formula>0</formula>
    </cfRule>
    <cfRule type="cellIs" dxfId="20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2C8C-1052-412F-8493-732B6E73C93A}">
  <dimension ref="A1:AK28"/>
  <sheetViews>
    <sheetView zoomScale="60" zoomScaleNormal="6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AI3" sqref="AI3:AI22"/>
    </sheetView>
  </sheetViews>
  <sheetFormatPr defaultRowHeight="14.5"/>
  <cols>
    <col min="1" max="1" width="16" customWidth="1"/>
    <col min="2" max="2" width="39.36328125" customWidth="1"/>
    <col min="3" max="19" width="8.08984375" bestFit="1" customWidth="1"/>
    <col min="20" max="20" width="8.08984375" customWidth="1"/>
    <col min="21" max="28" width="8.08984375" bestFit="1" customWidth="1"/>
    <col min="29" max="29" width="8.08984375" customWidth="1"/>
    <col min="30" max="32" width="8.08984375" bestFit="1" customWidth="1"/>
    <col min="33" max="33" width="10.08984375" bestFit="1" customWidth="1"/>
    <col min="34" max="34" width="16.08984375" bestFit="1" customWidth="1"/>
    <col min="35" max="35" width="18.6328125" bestFit="1" customWidth="1"/>
    <col min="36" max="36" width="13.36328125" customWidth="1"/>
    <col min="37" max="37" width="13" customWidth="1"/>
  </cols>
  <sheetData>
    <row r="1" spans="1:37" ht="35.25" customHeight="1">
      <c r="B1" s="127" t="s">
        <v>80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</row>
    <row r="2" spans="1:37" ht="73.5" customHeight="1">
      <c r="A2" s="60" t="s">
        <v>4</v>
      </c>
      <c r="B2" s="61" t="s">
        <v>5</v>
      </c>
      <c r="C2" s="100">
        <v>45017</v>
      </c>
      <c r="D2" s="100">
        <v>45018</v>
      </c>
      <c r="E2" s="100">
        <v>45019</v>
      </c>
      <c r="F2" s="100">
        <v>45020</v>
      </c>
      <c r="G2" s="100">
        <v>45021</v>
      </c>
      <c r="H2" s="100">
        <v>45022</v>
      </c>
      <c r="I2" s="100">
        <v>45023</v>
      </c>
      <c r="J2" s="100">
        <v>45024</v>
      </c>
      <c r="K2" s="100">
        <v>45025</v>
      </c>
      <c r="L2" s="100">
        <v>45026</v>
      </c>
      <c r="M2" s="100">
        <v>45027</v>
      </c>
      <c r="N2" s="100">
        <v>45028</v>
      </c>
      <c r="O2" s="100">
        <v>45029</v>
      </c>
      <c r="P2" s="100">
        <v>45030</v>
      </c>
      <c r="Q2" s="100">
        <v>45031</v>
      </c>
      <c r="R2" s="100">
        <v>45032</v>
      </c>
      <c r="S2" s="100">
        <v>45033</v>
      </c>
      <c r="T2" s="100">
        <v>45034</v>
      </c>
      <c r="U2" s="100">
        <v>45035</v>
      </c>
      <c r="V2" s="100">
        <v>45036</v>
      </c>
      <c r="W2" s="100">
        <v>45037</v>
      </c>
      <c r="X2" s="100">
        <v>45038</v>
      </c>
      <c r="Y2" s="100">
        <v>45039</v>
      </c>
      <c r="Z2" s="100">
        <v>45040</v>
      </c>
      <c r="AA2" s="100">
        <v>45041</v>
      </c>
      <c r="AB2" s="100">
        <v>45042</v>
      </c>
      <c r="AC2" s="100">
        <v>45043</v>
      </c>
      <c r="AD2" s="100">
        <v>45044</v>
      </c>
      <c r="AE2" s="100">
        <v>45045</v>
      </c>
      <c r="AF2" s="100">
        <v>45046</v>
      </c>
      <c r="AG2" s="101" t="s">
        <v>79</v>
      </c>
      <c r="AH2" s="106" t="s">
        <v>18</v>
      </c>
      <c r="AI2" s="125" t="s">
        <v>77</v>
      </c>
      <c r="AJ2" s="107" t="s">
        <v>20</v>
      </c>
      <c r="AK2" s="108" t="s">
        <v>78</v>
      </c>
    </row>
    <row r="3" spans="1:37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10">
        <f t="shared" ref="AG3:AG23" si="0">AVERAGE(C3:AF3)</f>
        <v>0</v>
      </c>
      <c r="AH3" s="111">
        <v>10000</v>
      </c>
      <c r="AI3" s="111">
        <f t="shared" ref="AI3:AI23" si="1">SUM(C3:AF3)</f>
        <v>0</v>
      </c>
      <c r="AJ3" s="112">
        <f>AI3/AH3</f>
        <v>0</v>
      </c>
      <c r="AK3" s="113">
        <f>AH3-AI3</f>
        <v>10000</v>
      </c>
    </row>
    <row r="4" spans="1:37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10">
        <f t="shared" si="0"/>
        <v>0</v>
      </c>
      <c r="AH4" s="111">
        <v>10000</v>
      </c>
      <c r="AI4" s="111">
        <f t="shared" si="1"/>
        <v>0</v>
      </c>
      <c r="AJ4" s="112">
        <f t="shared" ref="AJ4:AJ22" si="2">AI4/AH4</f>
        <v>0</v>
      </c>
      <c r="AK4" s="113">
        <f t="shared" ref="AK4:AK22" si="3">AH4-AI4</f>
        <v>10000</v>
      </c>
    </row>
    <row r="5" spans="1:37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10">
        <f t="shared" si="0"/>
        <v>0</v>
      </c>
      <c r="AH5" s="111">
        <v>10000</v>
      </c>
      <c r="AI5" s="111">
        <f t="shared" si="1"/>
        <v>0</v>
      </c>
      <c r="AJ5" s="112">
        <f t="shared" si="2"/>
        <v>0</v>
      </c>
      <c r="AK5" s="113">
        <f t="shared" si="3"/>
        <v>10000</v>
      </c>
    </row>
    <row r="6" spans="1:37" ht="20">
      <c r="A6" s="99" t="s">
        <v>33</v>
      </c>
      <c r="B6" s="98" t="s">
        <v>34</v>
      </c>
      <c r="C6" s="103">
        <v>33</v>
      </c>
      <c r="D6" s="103">
        <v>1</v>
      </c>
      <c r="E6" s="103">
        <v>69</v>
      </c>
      <c r="F6" s="103">
        <v>481</v>
      </c>
      <c r="G6" s="103">
        <v>325</v>
      </c>
      <c r="H6" s="103">
        <v>78</v>
      </c>
      <c r="I6" s="103">
        <v>20</v>
      </c>
      <c r="J6" s="103">
        <v>0</v>
      </c>
      <c r="K6" s="103">
        <v>0</v>
      </c>
      <c r="L6" s="103">
        <v>0</v>
      </c>
      <c r="M6" s="103">
        <v>0</v>
      </c>
      <c r="N6" s="103">
        <v>116</v>
      </c>
      <c r="O6" s="103">
        <v>208</v>
      </c>
      <c r="P6" s="103">
        <v>202</v>
      </c>
      <c r="Q6" s="103">
        <v>255</v>
      </c>
      <c r="R6" s="103">
        <v>405</v>
      </c>
      <c r="S6" s="103">
        <v>340</v>
      </c>
      <c r="T6" s="103">
        <v>295</v>
      </c>
      <c r="U6" s="103">
        <v>256</v>
      </c>
      <c r="V6" s="103">
        <v>32</v>
      </c>
      <c r="W6" s="103">
        <v>1</v>
      </c>
      <c r="X6" s="103">
        <v>97</v>
      </c>
      <c r="Y6" s="103">
        <v>423</v>
      </c>
      <c r="Z6" s="103">
        <v>222</v>
      </c>
      <c r="AA6" s="103">
        <v>538</v>
      </c>
      <c r="AB6" s="103">
        <v>125</v>
      </c>
      <c r="AC6" s="103">
        <v>0</v>
      </c>
      <c r="AD6" s="103">
        <v>0</v>
      </c>
      <c r="AE6" s="103">
        <v>0</v>
      </c>
      <c r="AF6" s="103">
        <v>0</v>
      </c>
      <c r="AG6" s="110">
        <f t="shared" si="0"/>
        <v>150.73333333333332</v>
      </c>
      <c r="AH6" s="111">
        <v>10000</v>
      </c>
      <c r="AI6" s="111">
        <f>SUM(C6:AF6)</f>
        <v>4522</v>
      </c>
      <c r="AJ6" s="112">
        <f t="shared" si="2"/>
        <v>0.45219999999999999</v>
      </c>
      <c r="AK6" s="113">
        <f t="shared" si="3"/>
        <v>5478</v>
      </c>
    </row>
    <row r="7" spans="1:37" ht="20">
      <c r="A7" s="99" t="s">
        <v>35</v>
      </c>
      <c r="B7" s="98" t="s">
        <v>36</v>
      </c>
      <c r="C7" s="103">
        <v>38</v>
      </c>
      <c r="D7" s="103">
        <v>1</v>
      </c>
      <c r="E7" s="103">
        <v>285</v>
      </c>
      <c r="F7" s="103">
        <v>51</v>
      </c>
      <c r="G7" s="103">
        <v>601</v>
      </c>
      <c r="H7" s="103">
        <v>134</v>
      </c>
      <c r="I7" s="103">
        <v>438</v>
      </c>
      <c r="J7" s="103">
        <v>297</v>
      </c>
      <c r="K7" s="103">
        <v>50</v>
      </c>
      <c r="L7" s="103">
        <v>0</v>
      </c>
      <c r="M7" s="103">
        <v>223</v>
      </c>
      <c r="N7" s="103">
        <v>400</v>
      </c>
      <c r="O7" s="103">
        <v>150</v>
      </c>
      <c r="P7" s="103">
        <v>728</v>
      </c>
      <c r="Q7" s="103">
        <v>0</v>
      </c>
      <c r="R7" s="103">
        <v>0</v>
      </c>
      <c r="S7" s="103">
        <v>14</v>
      </c>
      <c r="T7" s="103">
        <v>45</v>
      </c>
      <c r="U7" s="103">
        <v>393</v>
      </c>
      <c r="V7" s="103">
        <v>292</v>
      </c>
      <c r="W7" s="103">
        <v>283</v>
      </c>
      <c r="X7" s="103">
        <v>13</v>
      </c>
      <c r="Y7" s="103">
        <v>0</v>
      </c>
      <c r="Z7" s="103">
        <v>2</v>
      </c>
      <c r="AA7" s="103">
        <v>287</v>
      </c>
      <c r="AB7" s="103">
        <v>151</v>
      </c>
      <c r="AC7" s="103">
        <v>475</v>
      </c>
      <c r="AD7" s="103">
        <v>256</v>
      </c>
      <c r="AE7" s="103">
        <v>0</v>
      </c>
      <c r="AF7" s="103">
        <v>0</v>
      </c>
      <c r="AG7" s="110">
        <f t="shared" si="0"/>
        <v>186.9</v>
      </c>
      <c r="AH7" s="111">
        <v>10000</v>
      </c>
      <c r="AI7" s="111">
        <f t="shared" si="1"/>
        <v>5607</v>
      </c>
      <c r="AJ7" s="112">
        <f t="shared" si="2"/>
        <v>0.56069999999999998</v>
      </c>
      <c r="AK7" s="113">
        <f t="shared" si="3"/>
        <v>4393</v>
      </c>
    </row>
    <row r="8" spans="1:37" ht="20">
      <c r="A8" s="99" t="s">
        <v>37</v>
      </c>
      <c r="B8" s="98" t="s">
        <v>73</v>
      </c>
      <c r="C8" s="103">
        <v>333</v>
      </c>
      <c r="D8" s="103">
        <v>129</v>
      </c>
      <c r="E8" s="103">
        <v>346</v>
      </c>
      <c r="F8" s="103">
        <v>1</v>
      </c>
      <c r="G8" s="103">
        <v>28</v>
      </c>
      <c r="H8" s="103">
        <v>26</v>
      </c>
      <c r="I8" s="103">
        <v>482</v>
      </c>
      <c r="J8" s="103">
        <v>205</v>
      </c>
      <c r="K8" s="103">
        <v>0</v>
      </c>
      <c r="L8" s="103">
        <v>0</v>
      </c>
      <c r="M8" s="103">
        <v>112</v>
      </c>
      <c r="N8" s="103">
        <v>108</v>
      </c>
      <c r="O8" s="103">
        <v>14</v>
      </c>
      <c r="P8" s="103">
        <v>467</v>
      </c>
      <c r="Q8" s="103">
        <v>241</v>
      </c>
      <c r="R8" s="103">
        <v>384</v>
      </c>
      <c r="S8" s="103">
        <v>220</v>
      </c>
      <c r="T8" s="103">
        <v>194</v>
      </c>
      <c r="U8" s="103">
        <v>262</v>
      </c>
      <c r="V8" s="103">
        <v>213</v>
      </c>
      <c r="W8" s="103">
        <v>274</v>
      </c>
      <c r="X8" s="103">
        <v>205</v>
      </c>
      <c r="Y8" s="103">
        <v>0</v>
      </c>
      <c r="Z8" s="103">
        <v>238</v>
      </c>
      <c r="AA8" s="103">
        <v>0</v>
      </c>
      <c r="AB8" s="103">
        <v>0</v>
      </c>
      <c r="AC8" s="103">
        <v>209</v>
      </c>
      <c r="AD8" s="103">
        <v>123</v>
      </c>
      <c r="AE8" s="103">
        <v>44</v>
      </c>
      <c r="AF8" s="103">
        <v>67</v>
      </c>
      <c r="AG8" s="110">
        <f t="shared" si="0"/>
        <v>164.16666666666666</v>
      </c>
      <c r="AH8" s="111">
        <v>10000</v>
      </c>
      <c r="AI8" s="111">
        <f t="shared" si="1"/>
        <v>4925</v>
      </c>
      <c r="AJ8" s="112">
        <f t="shared" si="2"/>
        <v>0.49249999999999999</v>
      </c>
      <c r="AK8" s="113">
        <f t="shared" si="3"/>
        <v>5075</v>
      </c>
    </row>
    <row r="9" spans="1:37" ht="20">
      <c r="A9" s="99" t="s">
        <v>38</v>
      </c>
      <c r="B9" s="98" t="s">
        <v>39</v>
      </c>
      <c r="C9" s="103">
        <v>91</v>
      </c>
      <c r="D9" s="103">
        <v>0</v>
      </c>
      <c r="E9" s="103">
        <v>0</v>
      </c>
      <c r="F9" s="103">
        <v>0</v>
      </c>
      <c r="G9" s="103">
        <v>101</v>
      </c>
      <c r="H9" s="103">
        <v>282</v>
      </c>
      <c r="I9" s="103">
        <v>0</v>
      </c>
      <c r="J9" s="103">
        <v>0</v>
      </c>
      <c r="K9" s="103">
        <v>0</v>
      </c>
      <c r="L9" s="103">
        <v>0</v>
      </c>
      <c r="M9" s="103">
        <v>47</v>
      </c>
      <c r="N9" s="103">
        <v>56</v>
      </c>
      <c r="O9" s="103">
        <v>0</v>
      </c>
      <c r="P9" s="103">
        <v>1</v>
      </c>
      <c r="Q9" s="103">
        <v>262</v>
      </c>
      <c r="R9" s="103">
        <v>101</v>
      </c>
      <c r="S9" s="103">
        <v>191</v>
      </c>
      <c r="T9" s="103">
        <v>310</v>
      </c>
      <c r="U9" s="103">
        <v>7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  <c r="AA9" s="103">
        <v>0</v>
      </c>
      <c r="AB9" s="103">
        <v>0</v>
      </c>
      <c r="AC9" s="103">
        <v>0</v>
      </c>
      <c r="AD9" s="103">
        <v>225</v>
      </c>
      <c r="AE9" s="103">
        <v>252</v>
      </c>
      <c r="AF9" s="103">
        <v>87</v>
      </c>
      <c r="AG9" s="110">
        <f t="shared" si="0"/>
        <v>67.099999999999994</v>
      </c>
      <c r="AH9" s="111">
        <v>10000</v>
      </c>
      <c r="AI9" s="111">
        <f t="shared" si="1"/>
        <v>2013</v>
      </c>
      <c r="AJ9" s="112">
        <f t="shared" si="2"/>
        <v>0.20130000000000001</v>
      </c>
      <c r="AK9" s="113">
        <f t="shared" si="3"/>
        <v>7987</v>
      </c>
    </row>
    <row r="10" spans="1:37" ht="20">
      <c r="A10" s="114" t="s">
        <v>40</v>
      </c>
      <c r="B10" s="102" t="s">
        <v>68</v>
      </c>
      <c r="C10" s="104"/>
      <c r="D10" s="104"/>
      <c r="E10" s="105"/>
      <c r="F10" s="105"/>
      <c r="G10" s="105"/>
      <c r="H10" s="104"/>
      <c r="I10" s="104"/>
      <c r="J10" s="104"/>
      <c r="K10" s="104"/>
      <c r="L10" s="105"/>
      <c r="M10" s="105"/>
      <c r="N10" s="105"/>
      <c r="O10" s="10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10" t="e">
        <f>AVERAGE(C10:AF10)</f>
        <v>#DIV/0!</v>
      </c>
      <c r="AH10" s="111">
        <v>10000</v>
      </c>
      <c r="AI10" s="111">
        <f>SUM(C10:AF10)</f>
        <v>0</v>
      </c>
      <c r="AJ10" s="112">
        <f>AI10/AH10</f>
        <v>0</v>
      </c>
      <c r="AK10" s="113">
        <f>AH10-AI10</f>
        <v>10000</v>
      </c>
    </row>
    <row r="11" spans="1:37" ht="20">
      <c r="A11" s="99" t="s">
        <v>41</v>
      </c>
      <c r="B11" s="98" t="s">
        <v>42</v>
      </c>
      <c r="C11" s="103">
        <v>7</v>
      </c>
      <c r="D11" s="103">
        <v>2</v>
      </c>
      <c r="E11" s="103">
        <v>86</v>
      </c>
      <c r="F11" s="103">
        <v>2</v>
      </c>
      <c r="G11" s="103">
        <v>614</v>
      </c>
      <c r="H11" s="103">
        <v>483</v>
      </c>
      <c r="I11" s="103">
        <v>118</v>
      </c>
      <c r="J11" s="103">
        <v>1</v>
      </c>
      <c r="K11" s="103">
        <v>2</v>
      </c>
      <c r="L11" s="103">
        <v>1</v>
      </c>
      <c r="M11" s="103">
        <v>2</v>
      </c>
      <c r="N11" s="103">
        <v>18</v>
      </c>
      <c r="O11" s="103">
        <v>104</v>
      </c>
      <c r="P11" s="103">
        <v>89</v>
      </c>
      <c r="Q11" s="103">
        <v>2</v>
      </c>
      <c r="R11" s="103">
        <v>408</v>
      </c>
      <c r="S11" s="103">
        <v>417</v>
      </c>
      <c r="T11" s="103">
        <v>209</v>
      </c>
      <c r="U11" s="103">
        <v>98</v>
      </c>
      <c r="V11" s="103">
        <v>1</v>
      </c>
      <c r="W11" s="103">
        <v>1</v>
      </c>
      <c r="X11" s="103">
        <v>253</v>
      </c>
      <c r="Y11" s="103">
        <v>596</v>
      </c>
      <c r="Z11" s="103">
        <v>438</v>
      </c>
      <c r="AA11" s="103">
        <v>20</v>
      </c>
      <c r="AB11" s="103">
        <v>20</v>
      </c>
      <c r="AC11" s="103">
        <v>261</v>
      </c>
      <c r="AD11" s="103">
        <v>432</v>
      </c>
      <c r="AE11" s="103">
        <v>292</v>
      </c>
      <c r="AF11" s="103">
        <v>174</v>
      </c>
      <c r="AG11" s="110">
        <f t="shared" si="0"/>
        <v>171.7</v>
      </c>
      <c r="AH11" s="111">
        <v>10000</v>
      </c>
      <c r="AI11" s="111">
        <f t="shared" si="1"/>
        <v>5151</v>
      </c>
      <c r="AJ11" s="112">
        <f t="shared" si="2"/>
        <v>0.5151</v>
      </c>
      <c r="AK11" s="113">
        <f t="shared" si="3"/>
        <v>4849</v>
      </c>
    </row>
    <row r="12" spans="1:37" ht="20">
      <c r="A12" s="99" t="s">
        <v>43</v>
      </c>
      <c r="B12" s="98" t="s">
        <v>44</v>
      </c>
      <c r="C12" s="103">
        <v>90</v>
      </c>
      <c r="D12" s="103">
        <v>0</v>
      </c>
      <c r="E12" s="103">
        <v>0</v>
      </c>
      <c r="F12" s="103">
        <v>0</v>
      </c>
      <c r="G12" s="103">
        <v>100</v>
      </c>
      <c r="H12" s="103">
        <v>266</v>
      </c>
      <c r="I12" s="103">
        <v>0</v>
      </c>
      <c r="J12" s="103">
        <v>0</v>
      </c>
      <c r="K12" s="103">
        <v>0</v>
      </c>
      <c r="L12" s="103">
        <v>0</v>
      </c>
      <c r="M12" s="103">
        <v>45</v>
      </c>
      <c r="N12" s="103">
        <v>53</v>
      </c>
      <c r="O12" s="103">
        <v>0</v>
      </c>
      <c r="P12" s="103">
        <v>1</v>
      </c>
      <c r="Q12" s="103">
        <v>256</v>
      </c>
      <c r="R12" s="103">
        <v>99</v>
      </c>
      <c r="S12" s="103">
        <v>29</v>
      </c>
      <c r="T12" s="103">
        <v>252</v>
      </c>
      <c r="U12" s="103">
        <v>255</v>
      </c>
      <c r="V12" s="103">
        <v>30</v>
      </c>
      <c r="W12" s="103">
        <v>224</v>
      </c>
      <c r="X12" s="103">
        <v>514</v>
      </c>
      <c r="Y12" s="103">
        <v>0</v>
      </c>
      <c r="Z12" s="103">
        <v>182</v>
      </c>
      <c r="AA12" s="103">
        <v>237</v>
      </c>
      <c r="AB12" s="103">
        <v>125</v>
      </c>
      <c r="AC12" s="103">
        <v>0</v>
      </c>
      <c r="AD12" s="103">
        <v>84</v>
      </c>
      <c r="AE12" s="103">
        <v>518</v>
      </c>
      <c r="AF12" s="103">
        <v>520</v>
      </c>
      <c r="AG12" s="110">
        <f t="shared" si="0"/>
        <v>129.33333333333334</v>
      </c>
      <c r="AH12" s="111">
        <v>10000</v>
      </c>
      <c r="AI12" s="111">
        <f t="shared" si="1"/>
        <v>3880</v>
      </c>
      <c r="AJ12" s="112">
        <f t="shared" si="2"/>
        <v>0.38800000000000001</v>
      </c>
      <c r="AK12" s="113">
        <f t="shared" si="3"/>
        <v>6120</v>
      </c>
    </row>
    <row r="13" spans="1:37" ht="20">
      <c r="A13" s="99" t="s">
        <v>45</v>
      </c>
      <c r="B13" s="98" t="s">
        <v>46</v>
      </c>
      <c r="C13" s="103">
        <v>90</v>
      </c>
      <c r="D13" s="103">
        <v>0</v>
      </c>
      <c r="E13" s="103">
        <v>0</v>
      </c>
      <c r="F13" s="103">
        <v>0</v>
      </c>
      <c r="G13" s="103">
        <v>117</v>
      </c>
      <c r="H13" s="103">
        <v>254</v>
      </c>
      <c r="I13" s="103">
        <v>0</v>
      </c>
      <c r="J13" s="103">
        <v>0</v>
      </c>
      <c r="K13" s="103">
        <v>0</v>
      </c>
      <c r="L13" s="103">
        <v>0</v>
      </c>
      <c r="M13" s="103">
        <v>45</v>
      </c>
      <c r="N13" s="103">
        <v>54</v>
      </c>
      <c r="O13" s="103">
        <v>1</v>
      </c>
      <c r="P13" s="103">
        <v>3</v>
      </c>
      <c r="Q13" s="103">
        <v>1</v>
      </c>
      <c r="R13" s="103">
        <v>0</v>
      </c>
      <c r="S13" s="103">
        <v>0</v>
      </c>
      <c r="T13" s="103">
        <v>115</v>
      </c>
      <c r="U13" s="103">
        <v>32</v>
      </c>
      <c r="V13" s="103">
        <v>263</v>
      </c>
      <c r="W13" s="103">
        <v>471</v>
      </c>
      <c r="X13" s="103">
        <v>0</v>
      </c>
      <c r="Y13" s="103">
        <v>126</v>
      </c>
      <c r="Z13" s="103">
        <v>10</v>
      </c>
      <c r="AA13" s="103">
        <v>127</v>
      </c>
      <c r="AB13" s="103">
        <v>233</v>
      </c>
      <c r="AC13" s="103">
        <v>66</v>
      </c>
      <c r="AD13" s="103">
        <v>0</v>
      </c>
      <c r="AE13" s="103">
        <v>0</v>
      </c>
      <c r="AF13" s="103">
        <v>0</v>
      </c>
      <c r="AG13" s="110">
        <f t="shared" si="0"/>
        <v>66.933333333333337</v>
      </c>
      <c r="AH13" s="111">
        <v>10000</v>
      </c>
      <c r="AI13" s="111">
        <f t="shared" si="1"/>
        <v>2008</v>
      </c>
      <c r="AJ13" s="112">
        <f t="shared" si="2"/>
        <v>0.20080000000000001</v>
      </c>
      <c r="AK13" s="113">
        <f t="shared" si="3"/>
        <v>7992</v>
      </c>
    </row>
    <row r="14" spans="1:37" ht="20">
      <c r="A14" s="99" t="s">
        <v>47</v>
      </c>
      <c r="B14" s="98" t="s">
        <v>48</v>
      </c>
      <c r="C14" s="103">
        <v>91</v>
      </c>
      <c r="D14" s="103">
        <v>0</v>
      </c>
      <c r="E14" s="103">
        <v>0</v>
      </c>
      <c r="F14" s="103">
        <v>0</v>
      </c>
      <c r="G14" s="103">
        <v>123</v>
      </c>
      <c r="H14" s="103">
        <v>262</v>
      </c>
      <c r="I14" s="103">
        <v>0</v>
      </c>
      <c r="J14" s="103">
        <v>0</v>
      </c>
      <c r="K14" s="103">
        <v>0</v>
      </c>
      <c r="L14" s="103">
        <v>0</v>
      </c>
      <c r="M14" s="103">
        <v>48</v>
      </c>
      <c r="N14" s="103">
        <v>57</v>
      </c>
      <c r="O14" s="103">
        <v>0</v>
      </c>
      <c r="P14" s="103">
        <v>1</v>
      </c>
      <c r="Q14" s="103">
        <v>265</v>
      </c>
      <c r="R14" s="103">
        <v>124</v>
      </c>
      <c r="S14" s="103">
        <v>167</v>
      </c>
      <c r="T14" s="103">
        <v>343</v>
      </c>
      <c r="U14" s="103">
        <v>30</v>
      </c>
      <c r="V14" s="103">
        <v>283</v>
      </c>
      <c r="W14" s="103">
        <v>467</v>
      </c>
      <c r="X14" s="103">
        <v>0</v>
      </c>
      <c r="Y14" s="103">
        <v>135</v>
      </c>
      <c r="Z14" s="103">
        <v>131</v>
      </c>
      <c r="AA14" s="103">
        <v>236</v>
      </c>
      <c r="AB14" s="103">
        <v>77</v>
      </c>
      <c r="AC14" s="103">
        <v>0</v>
      </c>
      <c r="AD14" s="103">
        <v>136</v>
      </c>
      <c r="AE14" s="103">
        <v>394</v>
      </c>
      <c r="AF14" s="103">
        <v>688</v>
      </c>
      <c r="AG14" s="110">
        <f t="shared" si="0"/>
        <v>135.26666666666668</v>
      </c>
      <c r="AH14" s="111">
        <v>10000</v>
      </c>
      <c r="AI14" s="111">
        <f t="shared" si="1"/>
        <v>4058</v>
      </c>
      <c r="AJ14" s="112">
        <f t="shared" si="2"/>
        <v>0.40579999999999999</v>
      </c>
      <c r="AK14" s="113">
        <f t="shared" si="3"/>
        <v>5942</v>
      </c>
    </row>
    <row r="15" spans="1:37" ht="20">
      <c r="A15" s="99" t="s">
        <v>49</v>
      </c>
      <c r="B15" s="98" t="s">
        <v>50</v>
      </c>
      <c r="C15" s="103">
        <v>0</v>
      </c>
      <c r="D15" s="103">
        <v>0</v>
      </c>
      <c r="E15" s="103">
        <v>0</v>
      </c>
      <c r="F15" s="103">
        <v>0</v>
      </c>
      <c r="G15" s="103">
        <v>209</v>
      </c>
      <c r="H15" s="103">
        <v>312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62</v>
      </c>
      <c r="Q15" s="103">
        <v>86</v>
      </c>
      <c r="R15" s="103">
        <v>208</v>
      </c>
      <c r="S15" s="103">
        <v>480</v>
      </c>
      <c r="T15" s="103">
        <v>207</v>
      </c>
      <c r="U15" s="103">
        <v>4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  <c r="AA15" s="103">
        <v>0</v>
      </c>
      <c r="AB15" s="103">
        <v>18</v>
      </c>
      <c r="AC15" s="103">
        <v>175</v>
      </c>
      <c r="AD15" s="103">
        <v>375</v>
      </c>
      <c r="AE15" s="103">
        <v>457</v>
      </c>
      <c r="AF15" s="103">
        <v>145</v>
      </c>
      <c r="AG15" s="110">
        <f t="shared" si="0"/>
        <v>91.266666666666666</v>
      </c>
      <c r="AH15" s="111">
        <v>10000</v>
      </c>
      <c r="AI15" s="111">
        <f t="shared" si="1"/>
        <v>2738</v>
      </c>
      <c r="AJ15" s="112">
        <f t="shared" si="2"/>
        <v>0.27379999999999999</v>
      </c>
      <c r="AK15" s="113">
        <f t="shared" si="3"/>
        <v>7262</v>
      </c>
    </row>
    <row r="16" spans="1:37" ht="20">
      <c r="A16" s="99" t="s">
        <v>51</v>
      </c>
      <c r="B16" s="98" t="s">
        <v>52</v>
      </c>
      <c r="C16" s="103">
        <v>4</v>
      </c>
      <c r="D16" s="103">
        <v>400</v>
      </c>
      <c r="E16" s="103">
        <v>301</v>
      </c>
      <c r="F16" s="103">
        <v>304</v>
      </c>
      <c r="G16" s="103">
        <v>49</v>
      </c>
      <c r="H16" s="103">
        <v>203</v>
      </c>
      <c r="I16" s="103">
        <v>51</v>
      </c>
      <c r="J16" s="103">
        <v>85</v>
      </c>
      <c r="K16" s="103">
        <v>0</v>
      </c>
      <c r="L16" s="103">
        <v>2</v>
      </c>
      <c r="M16" s="103">
        <v>228</v>
      </c>
      <c r="N16" s="103">
        <v>470</v>
      </c>
      <c r="O16" s="103">
        <v>395</v>
      </c>
      <c r="P16" s="103">
        <v>117</v>
      </c>
      <c r="Q16" s="103">
        <v>1</v>
      </c>
      <c r="R16" s="103">
        <v>1</v>
      </c>
      <c r="S16" s="103">
        <v>1</v>
      </c>
      <c r="T16" s="103">
        <v>0</v>
      </c>
      <c r="U16" s="103">
        <v>1</v>
      </c>
      <c r="V16" s="103">
        <v>17</v>
      </c>
      <c r="W16" s="103">
        <v>176</v>
      </c>
      <c r="X16" s="103">
        <v>417</v>
      </c>
      <c r="Y16" s="103">
        <v>392</v>
      </c>
      <c r="Z16" s="103">
        <v>229</v>
      </c>
      <c r="AA16" s="103">
        <v>2</v>
      </c>
      <c r="AB16" s="103">
        <v>80</v>
      </c>
      <c r="AC16" s="103">
        <v>11</v>
      </c>
      <c r="AD16" s="103">
        <v>6</v>
      </c>
      <c r="AE16" s="103">
        <v>0</v>
      </c>
      <c r="AF16" s="103">
        <v>0</v>
      </c>
      <c r="AG16" s="110">
        <f t="shared" si="0"/>
        <v>131.43333333333334</v>
      </c>
      <c r="AH16" s="111">
        <v>10000</v>
      </c>
      <c r="AI16" s="111">
        <f t="shared" si="1"/>
        <v>3943</v>
      </c>
      <c r="AJ16" s="112">
        <f t="shared" si="2"/>
        <v>0.39429999999999998</v>
      </c>
      <c r="AK16" s="113">
        <f t="shared" si="3"/>
        <v>6057</v>
      </c>
    </row>
    <row r="17" spans="1:37" ht="20">
      <c r="A17" s="109" t="s">
        <v>53</v>
      </c>
      <c r="B17" s="98" t="s">
        <v>54</v>
      </c>
      <c r="C17" s="103">
        <v>90</v>
      </c>
      <c r="D17" s="103">
        <v>0</v>
      </c>
      <c r="E17" s="103">
        <v>0</v>
      </c>
      <c r="F17" s="103">
        <v>0</v>
      </c>
      <c r="G17" s="103">
        <v>100</v>
      </c>
      <c r="H17" s="103">
        <v>266</v>
      </c>
      <c r="I17" s="103">
        <v>0</v>
      </c>
      <c r="J17" s="103">
        <v>0</v>
      </c>
      <c r="K17" s="103">
        <v>0</v>
      </c>
      <c r="L17" s="103">
        <v>0</v>
      </c>
      <c r="M17" s="103">
        <v>46</v>
      </c>
      <c r="N17" s="103">
        <v>50</v>
      </c>
      <c r="O17" s="103">
        <v>1</v>
      </c>
      <c r="P17" s="103">
        <v>2</v>
      </c>
      <c r="Q17" s="103">
        <v>253</v>
      </c>
      <c r="R17" s="103">
        <v>121</v>
      </c>
      <c r="S17" s="103">
        <v>7</v>
      </c>
      <c r="T17" s="103">
        <v>256</v>
      </c>
      <c r="U17" s="103">
        <v>258</v>
      </c>
      <c r="V17" s="103">
        <v>31</v>
      </c>
      <c r="W17" s="103">
        <v>310</v>
      </c>
      <c r="X17" s="103">
        <v>382</v>
      </c>
      <c r="Y17" s="103">
        <v>136</v>
      </c>
      <c r="Z17" s="103">
        <v>1</v>
      </c>
      <c r="AA17" s="103">
        <v>151</v>
      </c>
      <c r="AB17" s="103">
        <v>76</v>
      </c>
      <c r="AC17" s="103">
        <v>1</v>
      </c>
      <c r="AD17" s="103">
        <v>92</v>
      </c>
      <c r="AE17" s="103">
        <v>0</v>
      </c>
      <c r="AF17" s="103">
        <v>0</v>
      </c>
      <c r="AG17" s="110">
        <f t="shared" si="0"/>
        <v>87.666666666666671</v>
      </c>
      <c r="AH17" s="111">
        <v>10000</v>
      </c>
      <c r="AI17" s="111">
        <f t="shared" si="1"/>
        <v>2630</v>
      </c>
      <c r="AJ17" s="112">
        <f t="shared" si="2"/>
        <v>0.26300000000000001</v>
      </c>
      <c r="AK17" s="113">
        <f t="shared" si="3"/>
        <v>7370</v>
      </c>
    </row>
    <row r="18" spans="1:37" ht="20">
      <c r="A18" s="99" t="s">
        <v>55</v>
      </c>
      <c r="B18" s="98" t="s">
        <v>68</v>
      </c>
      <c r="C18" s="103">
        <v>4</v>
      </c>
      <c r="D18" s="103">
        <v>40</v>
      </c>
      <c r="E18" s="103">
        <v>6</v>
      </c>
      <c r="F18" s="103">
        <v>3</v>
      </c>
      <c r="G18" s="103">
        <v>1</v>
      </c>
      <c r="H18" s="103">
        <v>1</v>
      </c>
      <c r="I18" s="103">
        <v>1</v>
      </c>
      <c r="J18" s="103">
        <v>1</v>
      </c>
      <c r="K18" s="103">
        <v>0</v>
      </c>
      <c r="L18" s="103">
        <v>1</v>
      </c>
      <c r="M18" s="103">
        <v>1</v>
      </c>
      <c r="N18" s="103">
        <v>0</v>
      </c>
      <c r="O18" s="103">
        <v>11</v>
      </c>
      <c r="P18" s="103">
        <v>1</v>
      </c>
      <c r="Q18" s="103">
        <v>2</v>
      </c>
      <c r="R18" s="103">
        <v>3</v>
      </c>
      <c r="S18" s="103">
        <v>1</v>
      </c>
      <c r="T18" s="103">
        <v>1</v>
      </c>
      <c r="U18" s="103">
        <v>1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  <c r="AA18" s="103">
        <v>99</v>
      </c>
      <c r="AB18" s="103">
        <v>17</v>
      </c>
      <c r="AC18" s="103">
        <v>19</v>
      </c>
      <c r="AD18" s="103">
        <v>128</v>
      </c>
      <c r="AE18" s="103">
        <v>0</v>
      </c>
      <c r="AF18" s="103">
        <v>0</v>
      </c>
      <c r="AG18" s="110">
        <f t="shared" si="0"/>
        <v>11.4</v>
      </c>
      <c r="AH18" s="111">
        <v>10000</v>
      </c>
      <c r="AI18" s="111">
        <f t="shared" si="1"/>
        <v>342</v>
      </c>
      <c r="AJ18" s="112">
        <f t="shared" si="2"/>
        <v>3.4200000000000001E-2</v>
      </c>
      <c r="AK18" s="113">
        <f t="shared" si="3"/>
        <v>9658</v>
      </c>
    </row>
    <row r="19" spans="1:37" ht="20">
      <c r="A19" s="115" t="s">
        <v>58</v>
      </c>
      <c r="B19" s="98" t="s">
        <v>59</v>
      </c>
      <c r="C19" s="103">
        <v>197</v>
      </c>
      <c r="D19" s="103">
        <v>90</v>
      </c>
      <c r="E19" s="103">
        <v>0</v>
      </c>
      <c r="F19" s="103">
        <v>0</v>
      </c>
      <c r="G19" s="103">
        <v>96</v>
      </c>
      <c r="H19" s="103">
        <v>270</v>
      </c>
      <c r="I19" s="103">
        <v>1</v>
      </c>
      <c r="J19" s="103">
        <v>1</v>
      </c>
      <c r="K19" s="103">
        <v>1</v>
      </c>
      <c r="L19" s="103">
        <v>0</v>
      </c>
      <c r="M19" s="103">
        <v>46</v>
      </c>
      <c r="N19" s="103">
        <v>54</v>
      </c>
      <c r="O19" s="103">
        <v>1</v>
      </c>
      <c r="P19" s="103">
        <v>2</v>
      </c>
      <c r="Q19" s="103">
        <v>257</v>
      </c>
      <c r="R19" s="103">
        <v>120</v>
      </c>
      <c r="S19" s="103">
        <v>165</v>
      </c>
      <c r="T19" s="103">
        <v>308</v>
      </c>
      <c r="U19" s="103">
        <v>37</v>
      </c>
      <c r="V19" s="103">
        <v>23</v>
      </c>
      <c r="W19" s="103">
        <v>230</v>
      </c>
      <c r="X19" s="103">
        <v>414</v>
      </c>
      <c r="Y19" s="103">
        <v>69</v>
      </c>
      <c r="Z19" s="103">
        <v>68</v>
      </c>
      <c r="AA19" s="103">
        <v>143</v>
      </c>
      <c r="AB19" s="103">
        <v>125</v>
      </c>
      <c r="AC19" s="103">
        <v>0</v>
      </c>
      <c r="AD19" s="103">
        <v>85</v>
      </c>
      <c r="AE19" s="103">
        <v>523</v>
      </c>
      <c r="AF19" s="103">
        <v>526</v>
      </c>
      <c r="AG19" s="110">
        <f t="shared" si="0"/>
        <v>128.4</v>
      </c>
      <c r="AH19" s="111">
        <v>10000</v>
      </c>
      <c r="AI19" s="111">
        <f t="shared" si="1"/>
        <v>3852</v>
      </c>
      <c r="AJ19" s="112">
        <f t="shared" si="2"/>
        <v>0.38519999999999999</v>
      </c>
      <c r="AK19" s="113">
        <f t="shared" si="3"/>
        <v>6148</v>
      </c>
    </row>
    <row r="20" spans="1:37" ht="20">
      <c r="A20" s="99" t="s">
        <v>60</v>
      </c>
      <c r="B20" s="98" t="s">
        <v>61</v>
      </c>
      <c r="C20" s="103">
        <v>90</v>
      </c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91</v>
      </c>
      <c r="O20" s="103">
        <v>226</v>
      </c>
      <c r="P20" s="103">
        <v>533</v>
      </c>
      <c r="Q20" s="103">
        <v>461</v>
      </c>
      <c r="R20" s="103">
        <v>17</v>
      </c>
      <c r="S20" s="103">
        <v>1</v>
      </c>
      <c r="T20" s="103">
        <v>1</v>
      </c>
      <c r="U20" s="103">
        <v>1</v>
      </c>
      <c r="V20" s="103">
        <v>1</v>
      </c>
      <c r="W20" s="103">
        <v>1</v>
      </c>
      <c r="X20" s="103">
        <v>36</v>
      </c>
      <c r="Y20" s="103">
        <v>0</v>
      </c>
      <c r="Z20" s="103">
        <v>1</v>
      </c>
      <c r="AA20" s="103">
        <v>17</v>
      </c>
      <c r="AB20" s="103">
        <v>306</v>
      </c>
      <c r="AC20" s="103">
        <v>520</v>
      </c>
      <c r="AD20" s="103">
        <v>220</v>
      </c>
      <c r="AE20" s="103">
        <v>168</v>
      </c>
      <c r="AF20" s="103">
        <v>0</v>
      </c>
      <c r="AG20" s="110">
        <f t="shared" si="0"/>
        <v>89.7</v>
      </c>
      <c r="AH20" s="111">
        <v>10000</v>
      </c>
      <c r="AI20" s="111">
        <f t="shared" si="1"/>
        <v>2691</v>
      </c>
      <c r="AJ20" s="112">
        <f t="shared" si="2"/>
        <v>0.26910000000000001</v>
      </c>
      <c r="AK20" s="113">
        <f t="shared" si="3"/>
        <v>7309</v>
      </c>
    </row>
    <row r="21" spans="1:37" ht="20">
      <c r="A21" s="99" t="s">
        <v>62</v>
      </c>
      <c r="B21" s="98" t="s">
        <v>63</v>
      </c>
      <c r="C21" s="103">
        <v>90</v>
      </c>
      <c r="D21" s="103">
        <v>0</v>
      </c>
      <c r="E21" s="103">
        <v>0</v>
      </c>
      <c r="F21" s="103">
        <v>0</v>
      </c>
      <c r="G21" s="103">
        <v>55</v>
      </c>
      <c r="H21" s="103">
        <v>338</v>
      </c>
      <c r="I21" s="103">
        <v>1</v>
      </c>
      <c r="J21" s="103">
        <v>2</v>
      </c>
      <c r="K21" s="103">
        <v>2</v>
      </c>
      <c r="L21" s="103">
        <v>1</v>
      </c>
      <c r="M21" s="103">
        <v>49</v>
      </c>
      <c r="N21" s="103">
        <v>52</v>
      </c>
      <c r="O21" s="103">
        <v>0</v>
      </c>
      <c r="P21" s="103">
        <v>2</v>
      </c>
      <c r="Q21" s="103">
        <v>254</v>
      </c>
      <c r="R21" s="103">
        <v>1</v>
      </c>
      <c r="S21" s="103">
        <v>184</v>
      </c>
      <c r="T21" s="103">
        <v>327</v>
      </c>
      <c r="U21" s="103">
        <v>96</v>
      </c>
      <c r="V21" s="103">
        <v>28</v>
      </c>
      <c r="W21" s="103">
        <v>29</v>
      </c>
      <c r="X21" s="103">
        <v>96</v>
      </c>
      <c r="Y21" s="103">
        <v>412</v>
      </c>
      <c r="Z21" s="103">
        <v>215</v>
      </c>
      <c r="AA21" s="103">
        <v>130</v>
      </c>
      <c r="AB21" s="103">
        <v>224</v>
      </c>
      <c r="AC21" s="103">
        <v>75</v>
      </c>
      <c r="AD21" s="103">
        <v>134</v>
      </c>
      <c r="AE21" s="103">
        <v>386</v>
      </c>
      <c r="AF21" s="103">
        <v>614</v>
      </c>
      <c r="AG21" s="110">
        <f t="shared" si="0"/>
        <v>126.56666666666666</v>
      </c>
      <c r="AH21" s="111">
        <v>10000</v>
      </c>
      <c r="AI21" s="111">
        <f t="shared" si="1"/>
        <v>3797</v>
      </c>
      <c r="AJ21" s="112">
        <f t="shared" si="2"/>
        <v>0.37969999999999998</v>
      </c>
      <c r="AK21" s="113">
        <f t="shared" si="3"/>
        <v>6203</v>
      </c>
    </row>
    <row r="22" spans="1:37" ht="20">
      <c r="A22" s="99" t="s">
        <v>64</v>
      </c>
      <c r="B22" s="98" t="s">
        <v>65</v>
      </c>
      <c r="C22" s="103">
        <v>147</v>
      </c>
      <c r="D22" s="103">
        <v>1</v>
      </c>
      <c r="E22" s="103">
        <v>0</v>
      </c>
      <c r="F22" s="103">
        <v>225</v>
      </c>
      <c r="G22" s="103">
        <v>223</v>
      </c>
      <c r="H22" s="103">
        <v>340</v>
      </c>
      <c r="I22" s="103">
        <v>687</v>
      </c>
      <c r="J22" s="103">
        <v>189</v>
      </c>
      <c r="K22" s="103">
        <v>1</v>
      </c>
      <c r="L22" s="103">
        <v>0</v>
      </c>
      <c r="M22" s="103">
        <v>0</v>
      </c>
      <c r="N22" s="103">
        <v>1</v>
      </c>
      <c r="O22" s="103">
        <v>0</v>
      </c>
      <c r="P22" s="103">
        <v>17</v>
      </c>
      <c r="Q22" s="103">
        <v>192</v>
      </c>
      <c r="R22" s="103">
        <v>405</v>
      </c>
      <c r="S22" s="103">
        <v>416</v>
      </c>
      <c r="T22" s="103">
        <v>206</v>
      </c>
      <c r="U22" s="103">
        <v>98</v>
      </c>
      <c r="V22" s="103">
        <v>86</v>
      </c>
      <c r="W22" s="103">
        <v>1</v>
      </c>
      <c r="X22" s="103">
        <v>203</v>
      </c>
      <c r="Y22" s="103">
        <v>634</v>
      </c>
      <c r="Z22" s="103">
        <v>369</v>
      </c>
      <c r="AA22" s="103">
        <v>16</v>
      </c>
      <c r="AB22" s="103">
        <v>19</v>
      </c>
      <c r="AC22" s="103">
        <v>175</v>
      </c>
      <c r="AD22" s="103">
        <v>378</v>
      </c>
      <c r="AE22" s="103">
        <v>459</v>
      </c>
      <c r="AF22" s="103">
        <v>145</v>
      </c>
      <c r="AG22" s="110">
        <f t="shared" si="0"/>
        <v>187.76666666666668</v>
      </c>
      <c r="AH22" s="111">
        <v>10000</v>
      </c>
      <c r="AI22" s="111">
        <f t="shared" si="1"/>
        <v>5633</v>
      </c>
      <c r="AJ22" s="112">
        <f t="shared" si="2"/>
        <v>0.56330000000000002</v>
      </c>
      <c r="AK22" s="113">
        <f t="shared" si="3"/>
        <v>4367</v>
      </c>
    </row>
    <row r="23" spans="1:37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10" t="e">
        <f t="shared" si="0"/>
        <v>#DIV/0!</v>
      </c>
      <c r="AH23" s="111">
        <v>10000</v>
      </c>
      <c r="AI23" s="111">
        <f t="shared" si="1"/>
        <v>0</v>
      </c>
      <c r="AJ23" s="112">
        <f>AI23/AH23</f>
        <v>0</v>
      </c>
      <c r="AK23" s="113">
        <f>AH23-AI23</f>
        <v>10000</v>
      </c>
    </row>
    <row r="24" spans="1:37" s="116" customFormat="1" ht="28.5" customHeight="1">
      <c r="B24" s="124" t="s">
        <v>70</v>
      </c>
      <c r="C24" s="118">
        <f t="shared" ref="C24:AF24" si="4">SUM(C6:C22)</f>
        <v>1395</v>
      </c>
      <c r="D24" s="118">
        <f t="shared" si="4"/>
        <v>664</v>
      </c>
      <c r="E24" s="118">
        <f t="shared" si="4"/>
        <v>1093</v>
      </c>
      <c r="F24" s="118">
        <f t="shared" si="4"/>
        <v>1067</v>
      </c>
      <c r="G24" s="118">
        <f t="shared" si="4"/>
        <v>2742</v>
      </c>
      <c r="H24" s="118">
        <f t="shared" si="4"/>
        <v>3515</v>
      </c>
      <c r="I24" s="118">
        <f t="shared" si="4"/>
        <v>1799</v>
      </c>
      <c r="J24" s="118">
        <f t="shared" si="4"/>
        <v>781</v>
      </c>
      <c r="K24" s="118">
        <f t="shared" si="4"/>
        <v>56</v>
      </c>
      <c r="L24" s="118">
        <f t="shared" si="4"/>
        <v>5</v>
      </c>
      <c r="M24" s="118">
        <f t="shared" si="4"/>
        <v>892</v>
      </c>
      <c r="N24" s="118">
        <f t="shared" si="4"/>
        <v>1580</v>
      </c>
      <c r="O24" s="118">
        <f t="shared" si="4"/>
        <v>1111</v>
      </c>
      <c r="P24" s="118">
        <f t="shared" si="4"/>
        <v>2228</v>
      </c>
      <c r="Q24" s="118">
        <f t="shared" si="4"/>
        <v>2788</v>
      </c>
      <c r="R24" s="118">
        <f t="shared" si="4"/>
        <v>2397</v>
      </c>
      <c r="S24" s="118">
        <f t="shared" si="4"/>
        <v>2633</v>
      </c>
      <c r="T24" s="118">
        <f t="shared" si="4"/>
        <v>3069</v>
      </c>
      <c r="U24" s="118">
        <f t="shared" si="4"/>
        <v>1829</v>
      </c>
      <c r="V24" s="118">
        <f t="shared" si="4"/>
        <v>1300</v>
      </c>
      <c r="W24" s="118">
        <f t="shared" si="4"/>
        <v>2468</v>
      </c>
      <c r="X24" s="118">
        <f t="shared" si="4"/>
        <v>2630</v>
      </c>
      <c r="Y24" s="118">
        <f t="shared" si="4"/>
        <v>2923</v>
      </c>
      <c r="Z24" s="118">
        <f t="shared" si="4"/>
        <v>2106</v>
      </c>
      <c r="AA24" s="118">
        <f t="shared" si="4"/>
        <v>2003</v>
      </c>
      <c r="AB24" s="118">
        <f t="shared" si="4"/>
        <v>1596</v>
      </c>
      <c r="AC24" s="118">
        <f t="shared" si="4"/>
        <v>1987</v>
      </c>
      <c r="AD24" s="118">
        <f t="shared" si="4"/>
        <v>2674</v>
      </c>
      <c r="AE24" s="118">
        <f t="shared" si="4"/>
        <v>3493</v>
      </c>
      <c r="AF24" s="118">
        <f t="shared" si="4"/>
        <v>2966</v>
      </c>
      <c r="AG24" s="119"/>
      <c r="AH24" s="120">
        <f>SUM(AH6:AH22)</f>
        <v>170000</v>
      </c>
      <c r="AI24" s="121">
        <f>SUM(AI6:AJ22)</f>
        <v>57795.779000000002</v>
      </c>
      <c r="AJ24" s="122">
        <f>AI24/AH24</f>
        <v>0.33997517058823529</v>
      </c>
      <c r="AK24" s="119"/>
    </row>
    <row r="25" spans="1:37" s="116" customFormat="1" ht="28.5" customHeight="1">
      <c r="B25" s="124" t="s">
        <v>71</v>
      </c>
      <c r="C25" s="117">
        <v>3100</v>
      </c>
      <c r="D25" s="117">
        <v>3100</v>
      </c>
      <c r="E25" s="117">
        <v>3100</v>
      </c>
      <c r="F25" s="117">
        <v>3100</v>
      </c>
      <c r="G25" s="117">
        <v>3100</v>
      </c>
      <c r="H25" s="117">
        <v>3100</v>
      </c>
      <c r="I25" s="117">
        <v>3100</v>
      </c>
      <c r="J25" s="117">
        <v>3100</v>
      </c>
      <c r="K25" s="117">
        <v>3100</v>
      </c>
      <c r="L25" s="117">
        <v>3100</v>
      </c>
      <c r="M25" s="117">
        <v>3100</v>
      </c>
      <c r="N25" s="117">
        <v>3100</v>
      </c>
      <c r="O25" s="117">
        <v>3100</v>
      </c>
      <c r="P25" s="117">
        <v>3100</v>
      </c>
      <c r="Q25" s="117">
        <v>3100</v>
      </c>
      <c r="R25" s="117">
        <v>3100</v>
      </c>
      <c r="S25" s="117">
        <v>3100</v>
      </c>
      <c r="T25" s="117">
        <v>3100</v>
      </c>
      <c r="U25" s="117">
        <v>3100</v>
      </c>
      <c r="V25" s="117">
        <v>3100</v>
      </c>
      <c r="W25" s="117">
        <v>3100</v>
      </c>
      <c r="X25" s="117">
        <v>3100</v>
      </c>
      <c r="Y25" s="117">
        <v>3100</v>
      </c>
      <c r="Z25" s="117">
        <v>3100</v>
      </c>
      <c r="AA25" s="117">
        <v>3100</v>
      </c>
      <c r="AB25" s="117">
        <v>3100</v>
      </c>
      <c r="AC25" s="117">
        <v>3100</v>
      </c>
      <c r="AD25" s="117">
        <v>3100</v>
      </c>
      <c r="AE25" s="117">
        <v>3100</v>
      </c>
      <c r="AF25" s="117">
        <v>3100</v>
      </c>
      <c r="AG25" s="119"/>
    </row>
    <row r="26" spans="1:37" s="116" customFormat="1" ht="15">
      <c r="B26" s="124" t="s">
        <v>72</v>
      </c>
      <c r="C26" s="123">
        <f>C27/C28</f>
        <v>0.19375000000000001</v>
      </c>
      <c r="D26" s="123">
        <f t="shared" ref="D26:AF26" si="5">D27/D28</f>
        <v>9.2222222222222219E-2</v>
      </c>
      <c r="E26" s="123">
        <f t="shared" si="5"/>
        <v>0.15180555555555555</v>
      </c>
      <c r="F26" s="123">
        <f t="shared" si="5"/>
        <v>0.14819444444444443</v>
      </c>
      <c r="G26" s="123">
        <f t="shared" si="5"/>
        <v>0.38083333333333336</v>
      </c>
      <c r="H26" s="123">
        <f t="shared" si="5"/>
        <v>0.48819444444444443</v>
      </c>
      <c r="I26" s="123">
        <f t="shared" si="5"/>
        <v>0.24986111111111112</v>
      </c>
      <c r="J26" s="123">
        <f t="shared" si="5"/>
        <v>0.10847222222222222</v>
      </c>
      <c r="K26" s="123">
        <f t="shared" si="5"/>
        <v>7.7777777777777776E-3</v>
      </c>
      <c r="L26" s="123">
        <f t="shared" si="5"/>
        <v>6.9444444444444447E-4</v>
      </c>
      <c r="M26" s="123">
        <f t="shared" si="5"/>
        <v>0.1238888888888889</v>
      </c>
      <c r="N26" s="123">
        <f t="shared" si="5"/>
        <v>0.21944444444444444</v>
      </c>
      <c r="O26" s="123">
        <f t="shared" si="5"/>
        <v>0.15430555555555556</v>
      </c>
      <c r="P26" s="123">
        <f t="shared" si="5"/>
        <v>0.30944444444444447</v>
      </c>
      <c r="Q26" s="123">
        <f t="shared" si="5"/>
        <v>0.38722222222222225</v>
      </c>
      <c r="R26" s="123">
        <f t="shared" si="5"/>
        <v>0.33291666666666669</v>
      </c>
      <c r="S26" s="123">
        <f t="shared" si="5"/>
        <v>0.36569444444444443</v>
      </c>
      <c r="T26" s="123">
        <f t="shared" si="5"/>
        <v>0.42625000000000002</v>
      </c>
      <c r="U26" s="123">
        <f t="shared" si="5"/>
        <v>0.2540277777777778</v>
      </c>
      <c r="V26" s="123">
        <f t="shared" si="5"/>
        <v>0.18055555555555555</v>
      </c>
      <c r="W26" s="123">
        <f t="shared" si="5"/>
        <v>0.34277777777777779</v>
      </c>
      <c r="X26" s="123">
        <f t="shared" si="5"/>
        <v>0.36527777777777776</v>
      </c>
      <c r="Y26" s="123">
        <f t="shared" si="5"/>
        <v>0.40597222222222223</v>
      </c>
      <c r="Z26" s="123">
        <f t="shared" si="5"/>
        <v>0.29249999999999998</v>
      </c>
      <c r="AA26" s="123">
        <f t="shared" si="5"/>
        <v>0.27819444444444447</v>
      </c>
      <c r="AB26" s="123">
        <f t="shared" si="5"/>
        <v>0.22166666666666668</v>
      </c>
      <c r="AC26" s="123">
        <f t="shared" si="5"/>
        <v>0.27597222222222223</v>
      </c>
      <c r="AD26" s="123">
        <f t="shared" si="5"/>
        <v>0.37138888888888888</v>
      </c>
      <c r="AE26" s="123">
        <f t="shared" si="5"/>
        <v>0.4851388888888889</v>
      </c>
      <c r="AF26" s="123">
        <f t="shared" si="5"/>
        <v>0.41194444444444445</v>
      </c>
      <c r="AG26" s="119"/>
    </row>
    <row r="27" spans="1:37" s="116" customFormat="1" ht="15">
      <c r="B27" s="124" t="s">
        <v>75</v>
      </c>
      <c r="C27" s="118">
        <f>AVERAGE(C6:C22)</f>
        <v>87.1875</v>
      </c>
      <c r="D27" s="118">
        <f t="shared" ref="D27:AF27" si="6">AVERAGE(D6:D22)</f>
        <v>41.5</v>
      </c>
      <c r="E27" s="118">
        <f t="shared" si="6"/>
        <v>68.3125</v>
      </c>
      <c r="F27" s="118">
        <f t="shared" si="6"/>
        <v>66.6875</v>
      </c>
      <c r="G27" s="118">
        <f t="shared" si="6"/>
        <v>171.375</v>
      </c>
      <c r="H27" s="118">
        <f t="shared" si="6"/>
        <v>219.6875</v>
      </c>
      <c r="I27" s="118">
        <f t="shared" si="6"/>
        <v>112.4375</v>
      </c>
      <c r="J27" s="118">
        <f t="shared" si="6"/>
        <v>48.8125</v>
      </c>
      <c r="K27" s="118">
        <f t="shared" si="6"/>
        <v>3.5</v>
      </c>
      <c r="L27" s="118">
        <f t="shared" si="6"/>
        <v>0.3125</v>
      </c>
      <c r="M27" s="118">
        <f t="shared" si="6"/>
        <v>55.75</v>
      </c>
      <c r="N27" s="118">
        <f t="shared" si="6"/>
        <v>98.75</v>
      </c>
      <c r="O27" s="118">
        <f t="shared" si="6"/>
        <v>69.4375</v>
      </c>
      <c r="P27" s="118">
        <f t="shared" si="6"/>
        <v>139.25</v>
      </c>
      <c r="Q27" s="118">
        <f t="shared" si="6"/>
        <v>174.25</v>
      </c>
      <c r="R27" s="118">
        <f t="shared" si="6"/>
        <v>149.8125</v>
      </c>
      <c r="S27" s="118">
        <f t="shared" si="6"/>
        <v>164.5625</v>
      </c>
      <c r="T27" s="118">
        <f t="shared" si="6"/>
        <v>191.8125</v>
      </c>
      <c r="U27" s="118">
        <f t="shared" si="6"/>
        <v>114.3125</v>
      </c>
      <c r="V27" s="118">
        <f t="shared" si="6"/>
        <v>81.25</v>
      </c>
      <c r="W27" s="118">
        <f t="shared" si="6"/>
        <v>154.25</v>
      </c>
      <c r="X27" s="118">
        <f t="shared" si="6"/>
        <v>164.375</v>
      </c>
      <c r="Y27" s="118">
        <f t="shared" si="6"/>
        <v>182.6875</v>
      </c>
      <c r="Z27" s="118">
        <f t="shared" si="6"/>
        <v>131.625</v>
      </c>
      <c r="AA27" s="118">
        <f t="shared" si="6"/>
        <v>125.1875</v>
      </c>
      <c r="AB27" s="118">
        <f t="shared" si="6"/>
        <v>99.75</v>
      </c>
      <c r="AC27" s="118">
        <f t="shared" si="6"/>
        <v>124.1875</v>
      </c>
      <c r="AD27" s="118">
        <f t="shared" si="6"/>
        <v>167.125</v>
      </c>
      <c r="AE27" s="118">
        <f t="shared" si="6"/>
        <v>218.3125</v>
      </c>
      <c r="AF27" s="118">
        <f t="shared" si="6"/>
        <v>185.375</v>
      </c>
      <c r="AG27" s="126"/>
    </row>
    <row r="28" spans="1:37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</row>
  </sheetData>
  <mergeCells count="1">
    <mergeCell ref="C1:AF1"/>
  </mergeCells>
  <conditionalFormatting sqref="A8">
    <cfRule type="duplicateValues" dxfId="19" priority="7"/>
  </conditionalFormatting>
  <conditionalFormatting sqref="A10 A7">
    <cfRule type="duplicateValues" dxfId="18" priority="8"/>
  </conditionalFormatting>
  <conditionalFormatting sqref="A11">
    <cfRule type="duplicateValues" dxfId="17" priority="5"/>
  </conditionalFormatting>
  <conditionalFormatting sqref="A13">
    <cfRule type="duplicateValues" dxfId="16" priority="4"/>
  </conditionalFormatting>
  <conditionalFormatting sqref="A14">
    <cfRule type="duplicateValues" dxfId="15" priority="6"/>
  </conditionalFormatting>
  <conditionalFormatting sqref="A16:A17 A12">
    <cfRule type="duplicateValues" dxfId="14" priority="11"/>
  </conditionalFormatting>
  <conditionalFormatting sqref="A22 A15 A9 A3:A6">
    <cfRule type="duplicateValues" dxfId="13" priority="10"/>
  </conditionalFormatting>
  <conditionalFormatting sqref="A23 A18:A20">
    <cfRule type="duplicateValues" dxfId="12" priority="9"/>
  </conditionalFormatting>
  <conditionalFormatting sqref="C3:AF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K3:AK23">
    <cfRule type="cellIs" dxfId="11" priority="2" operator="lessThan">
      <formula>0</formula>
    </cfRule>
    <cfRule type="cellIs" dxfId="10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E097-C938-40C2-A315-F42C7DF9F6A4}">
  <dimension ref="A1:AL28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I48" sqref="AI48"/>
    </sheetView>
  </sheetViews>
  <sheetFormatPr defaultRowHeight="14.5"/>
  <cols>
    <col min="1" max="1" width="16" customWidth="1"/>
    <col min="2" max="2" width="35.08984375" customWidth="1"/>
    <col min="3" max="3" width="7.26953125" customWidth="1"/>
    <col min="4" max="34" width="7" customWidth="1"/>
    <col min="35" max="35" width="16" bestFit="1" customWidth="1"/>
    <col min="36" max="36" width="19.7265625" bestFit="1" customWidth="1"/>
    <col min="37" max="37" width="11.08984375" bestFit="1" customWidth="1"/>
    <col min="38" max="38" width="16" bestFit="1" customWidth="1"/>
  </cols>
  <sheetData>
    <row r="1" spans="1:38" ht="35.25" customHeight="1">
      <c r="B1" s="127" t="s">
        <v>81</v>
      </c>
      <c r="C1" s="367" t="s">
        <v>76</v>
      </c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</row>
    <row r="2" spans="1:38" ht="73.5" customHeight="1">
      <c r="A2" s="60" t="s">
        <v>4</v>
      </c>
      <c r="B2" s="61" t="s">
        <v>5</v>
      </c>
      <c r="C2" s="100">
        <v>44986</v>
      </c>
      <c r="D2" s="100">
        <v>44987</v>
      </c>
      <c r="E2" s="100">
        <v>44988</v>
      </c>
      <c r="F2" s="100">
        <v>44989</v>
      </c>
      <c r="G2" s="100">
        <v>44990</v>
      </c>
      <c r="H2" s="100">
        <v>44991</v>
      </c>
      <c r="I2" s="100">
        <v>44992</v>
      </c>
      <c r="J2" s="100">
        <v>44993</v>
      </c>
      <c r="K2" s="100">
        <v>44994</v>
      </c>
      <c r="L2" s="100">
        <v>44995</v>
      </c>
      <c r="M2" s="100">
        <v>44996</v>
      </c>
      <c r="N2" s="100">
        <v>44997</v>
      </c>
      <c r="O2" s="100">
        <v>44998</v>
      </c>
      <c r="P2" s="100">
        <v>44999</v>
      </c>
      <c r="Q2" s="100">
        <v>45000</v>
      </c>
      <c r="R2" s="100">
        <v>45001</v>
      </c>
      <c r="S2" s="100">
        <v>45002</v>
      </c>
      <c r="T2" s="100">
        <v>45003</v>
      </c>
      <c r="U2" s="100">
        <v>45004</v>
      </c>
      <c r="V2" s="100">
        <v>45005</v>
      </c>
      <c r="W2" s="100">
        <v>45006</v>
      </c>
      <c r="X2" s="100">
        <v>45007</v>
      </c>
      <c r="Y2" s="100">
        <v>45008</v>
      </c>
      <c r="Z2" s="100">
        <v>45009</v>
      </c>
      <c r="AA2" s="100">
        <v>45010</v>
      </c>
      <c r="AB2" s="100">
        <v>45011</v>
      </c>
      <c r="AC2" s="100">
        <v>45012</v>
      </c>
      <c r="AD2" s="100">
        <v>45013</v>
      </c>
      <c r="AE2" s="100">
        <v>45014</v>
      </c>
      <c r="AF2" s="100">
        <v>45015</v>
      </c>
      <c r="AG2" s="100">
        <v>45016</v>
      </c>
      <c r="AH2" s="101" t="s">
        <v>79</v>
      </c>
      <c r="AI2" s="106" t="s">
        <v>18</v>
      </c>
      <c r="AJ2" s="125" t="s">
        <v>77</v>
      </c>
      <c r="AK2" s="107" t="s">
        <v>20</v>
      </c>
      <c r="AL2" s="108" t="s">
        <v>78</v>
      </c>
    </row>
    <row r="3" spans="1:38" ht="20">
      <c r="A3" s="109" t="s">
        <v>26</v>
      </c>
      <c r="B3" s="98"/>
      <c r="C3" s="103">
        <v>0</v>
      </c>
      <c r="D3" s="103">
        <v>0</v>
      </c>
      <c r="E3" s="103">
        <v>0</v>
      </c>
      <c r="F3" s="103">
        <v>0</v>
      </c>
      <c r="G3" s="103">
        <v>0</v>
      </c>
      <c r="H3" s="103">
        <v>0</v>
      </c>
      <c r="I3" s="103">
        <v>0</v>
      </c>
      <c r="J3" s="103">
        <v>0</v>
      </c>
      <c r="K3" s="103">
        <v>0</v>
      </c>
      <c r="L3" s="103">
        <v>0</v>
      </c>
      <c r="M3" s="103">
        <v>0</v>
      </c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>
        <v>0</v>
      </c>
      <c r="Y3" s="103">
        <v>0</v>
      </c>
      <c r="Z3" s="103">
        <v>0</v>
      </c>
      <c r="AA3" s="103">
        <v>0</v>
      </c>
      <c r="AB3" s="103">
        <v>0</v>
      </c>
      <c r="AC3" s="103">
        <v>0</v>
      </c>
      <c r="AD3" s="103">
        <v>0</v>
      </c>
      <c r="AE3" s="103">
        <v>0</v>
      </c>
      <c r="AF3" s="103">
        <v>0</v>
      </c>
      <c r="AG3" s="103">
        <v>0</v>
      </c>
      <c r="AH3" s="110">
        <f>AVERAGE(C3:AG3)</f>
        <v>0</v>
      </c>
      <c r="AI3" s="111">
        <v>10000</v>
      </c>
      <c r="AJ3" s="111">
        <f>SUM(C3:AG3)</f>
        <v>0</v>
      </c>
      <c r="AK3" s="112">
        <f>AJ3/AI3</f>
        <v>0</v>
      </c>
      <c r="AL3" s="113">
        <f>AI3-AJ3</f>
        <v>10000</v>
      </c>
    </row>
    <row r="4" spans="1:38" ht="20">
      <c r="A4" s="109" t="s">
        <v>30</v>
      </c>
      <c r="B4" s="98"/>
      <c r="C4" s="103">
        <v>0</v>
      </c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>
        <v>0</v>
      </c>
      <c r="Z4" s="103">
        <v>0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10">
        <f t="shared" ref="AH4:AH21" si="0">AVERAGE(C4:AG4)</f>
        <v>0</v>
      </c>
      <c r="AI4" s="111">
        <v>10000</v>
      </c>
      <c r="AJ4" s="111">
        <f t="shared" ref="AJ4:AJ22" si="1">SUM(C4:AG4)</f>
        <v>0</v>
      </c>
      <c r="AK4" s="112">
        <f t="shared" ref="AK4:AK22" si="2">AJ4/AI4</f>
        <v>0</v>
      </c>
      <c r="AL4" s="113">
        <f t="shared" ref="AL4:AL22" si="3">AI4-AJ4</f>
        <v>10000</v>
      </c>
    </row>
    <row r="5" spans="1:38" ht="20">
      <c r="A5" s="109" t="s">
        <v>32</v>
      </c>
      <c r="B5" s="98"/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10">
        <f t="shared" si="0"/>
        <v>0</v>
      </c>
      <c r="AI5" s="111">
        <v>10000</v>
      </c>
      <c r="AJ5" s="111">
        <f t="shared" si="1"/>
        <v>0</v>
      </c>
      <c r="AK5" s="112">
        <f t="shared" si="2"/>
        <v>0</v>
      </c>
      <c r="AL5" s="113">
        <f t="shared" si="3"/>
        <v>10000</v>
      </c>
    </row>
    <row r="6" spans="1:38" ht="20">
      <c r="A6" s="99" t="s">
        <v>33</v>
      </c>
      <c r="B6" s="98" t="s">
        <v>34</v>
      </c>
      <c r="C6" s="103">
        <v>0</v>
      </c>
      <c r="D6" s="103">
        <v>463</v>
      </c>
      <c r="E6" s="103">
        <v>119</v>
      </c>
      <c r="F6" s="103">
        <v>0</v>
      </c>
      <c r="G6" s="103">
        <v>0</v>
      </c>
      <c r="H6" s="103">
        <v>0</v>
      </c>
      <c r="I6" s="103">
        <v>11</v>
      </c>
      <c r="J6" s="103">
        <v>4</v>
      </c>
      <c r="K6" s="103">
        <v>124</v>
      </c>
      <c r="L6" s="103">
        <v>535</v>
      </c>
      <c r="M6" s="103">
        <v>268</v>
      </c>
      <c r="N6" s="103">
        <v>0</v>
      </c>
      <c r="O6" s="103">
        <v>6</v>
      </c>
      <c r="P6" s="103">
        <v>0</v>
      </c>
      <c r="Q6" s="103">
        <v>18</v>
      </c>
      <c r="R6" s="103">
        <v>0</v>
      </c>
      <c r="S6" s="103">
        <v>179</v>
      </c>
      <c r="T6" s="103">
        <v>195</v>
      </c>
      <c r="U6" s="103">
        <v>163</v>
      </c>
      <c r="V6" s="103">
        <v>83</v>
      </c>
      <c r="W6" s="103">
        <v>201</v>
      </c>
      <c r="X6" s="103">
        <v>279</v>
      </c>
      <c r="Y6" s="103">
        <v>250</v>
      </c>
      <c r="Z6" s="103">
        <v>0</v>
      </c>
      <c r="AA6" s="103">
        <v>0</v>
      </c>
      <c r="AB6" s="103">
        <v>28</v>
      </c>
      <c r="AC6" s="103">
        <v>0</v>
      </c>
      <c r="AD6" s="103">
        <v>0</v>
      </c>
      <c r="AE6" s="103">
        <v>0</v>
      </c>
      <c r="AF6" s="103">
        <v>0</v>
      </c>
      <c r="AG6" s="103">
        <v>1</v>
      </c>
      <c r="AH6" s="110">
        <f>AVERAGE(C6:AG6)</f>
        <v>94.41935483870968</v>
      </c>
      <c r="AI6" s="111">
        <v>10000</v>
      </c>
      <c r="AJ6" s="111">
        <f>SUM(C6:AG6)</f>
        <v>2927</v>
      </c>
      <c r="AK6" s="112">
        <f t="shared" si="2"/>
        <v>0.29270000000000002</v>
      </c>
      <c r="AL6" s="113">
        <f t="shared" si="3"/>
        <v>7073</v>
      </c>
    </row>
    <row r="7" spans="1:38" ht="20">
      <c r="A7" s="99" t="s">
        <v>35</v>
      </c>
      <c r="B7" s="98" t="s">
        <v>36</v>
      </c>
      <c r="C7" s="103">
        <v>250</v>
      </c>
      <c r="D7" s="103">
        <v>0</v>
      </c>
      <c r="E7" s="103">
        <v>44</v>
      </c>
      <c r="F7" s="103">
        <v>604</v>
      </c>
      <c r="G7" s="103">
        <v>105</v>
      </c>
      <c r="H7" s="103">
        <v>183</v>
      </c>
      <c r="I7" s="103">
        <v>0</v>
      </c>
      <c r="J7" s="103">
        <v>0</v>
      </c>
      <c r="K7" s="103">
        <v>134</v>
      </c>
      <c r="L7" s="103">
        <v>201</v>
      </c>
      <c r="M7" s="103">
        <v>375</v>
      </c>
      <c r="N7" s="103">
        <v>50</v>
      </c>
      <c r="O7" s="103">
        <v>274</v>
      </c>
      <c r="P7" s="103">
        <v>0</v>
      </c>
      <c r="Q7" s="103">
        <v>0</v>
      </c>
      <c r="R7" s="103">
        <v>0</v>
      </c>
      <c r="S7" s="103">
        <v>164</v>
      </c>
      <c r="T7" s="103">
        <v>288</v>
      </c>
      <c r="U7" s="103">
        <v>0</v>
      </c>
      <c r="V7" s="103">
        <v>0</v>
      </c>
      <c r="W7" s="103">
        <v>0</v>
      </c>
      <c r="X7" s="103">
        <v>0</v>
      </c>
      <c r="Y7" s="103">
        <v>0</v>
      </c>
      <c r="Z7" s="103">
        <v>0</v>
      </c>
      <c r="AA7" s="103">
        <v>11</v>
      </c>
      <c r="AB7" s="103">
        <v>359</v>
      </c>
      <c r="AC7" s="103">
        <v>349</v>
      </c>
      <c r="AD7" s="103">
        <v>319</v>
      </c>
      <c r="AE7" s="103">
        <v>5</v>
      </c>
      <c r="AF7" s="103">
        <v>0</v>
      </c>
      <c r="AG7" s="103">
        <v>0</v>
      </c>
      <c r="AH7" s="110">
        <f t="shared" si="0"/>
        <v>119.83870967741936</v>
      </c>
      <c r="AI7" s="111">
        <v>10000</v>
      </c>
      <c r="AJ7" s="111">
        <f t="shared" si="1"/>
        <v>3715</v>
      </c>
      <c r="AK7" s="112">
        <f t="shared" si="2"/>
        <v>0.3715</v>
      </c>
      <c r="AL7" s="113">
        <f t="shared" si="3"/>
        <v>6285</v>
      </c>
    </row>
    <row r="8" spans="1:38" ht="20">
      <c r="A8" s="99" t="s">
        <v>37</v>
      </c>
      <c r="B8" s="98" t="s">
        <v>73</v>
      </c>
      <c r="C8" s="103">
        <v>77</v>
      </c>
      <c r="D8" s="103">
        <v>0</v>
      </c>
      <c r="E8" s="103">
        <v>0</v>
      </c>
      <c r="F8" s="103">
        <v>38</v>
      </c>
      <c r="G8" s="103">
        <v>2</v>
      </c>
      <c r="H8" s="103">
        <v>35</v>
      </c>
      <c r="I8" s="103">
        <v>250</v>
      </c>
      <c r="J8" s="103">
        <v>51</v>
      </c>
      <c r="K8" s="103">
        <v>24</v>
      </c>
      <c r="L8" s="103">
        <v>319</v>
      </c>
      <c r="M8" s="103">
        <v>318</v>
      </c>
      <c r="N8" s="103">
        <v>0</v>
      </c>
      <c r="O8" s="103">
        <v>0</v>
      </c>
      <c r="P8" s="103">
        <v>110</v>
      </c>
      <c r="Q8" s="103">
        <v>117</v>
      </c>
      <c r="R8" s="103">
        <v>222</v>
      </c>
      <c r="S8" s="103">
        <v>234</v>
      </c>
      <c r="T8" s="103">
        <v>209</v>
      </c>
      <c r="U8" s="103">
        <v>0</v>
      </c>
      <c r="V8" s="103">
        <v>21</v>
      </c>
      <c r="W8" s="103">
        <v>136</v>
      </c>
      <c r="X8" s="103">
        <v>345</v>
      </c>
      <c r="Y8" s="103">
        <v>227</v>
      </c>
      <c r="Z8" s="103">
        <v>21</v>
      </c>
      <c r="AA8" s="103">
        <v>472</v>
      </c>
      <c r="AB8" s="103">
        <v>0</v>
      </c>
      <c r="AC8" s="103">
        <v>215</v>
      </c>
      <c r="AD8" s="103">
        <v>470</v>
      </c>
      <c r="AE8" s="103">
        <v>238</v>
      </c>
      <c r="AF8" s="103">
        <v>232</v>
      </c>
      <c r="AG8" s="103">
        <v>334</v>
      </c>
      <c r="AH8" s="110">
        <f t="shared" si="0"/>
        <v>152.16129032258064</v>
      </c>
      <c r="AI8" s="111">
        <v>10000</v>
      </c>
      <c r="AJ8" s="111">
        <f t="shared" si="1"/>
        <v>4717</v>
      </c>
      <c r="AK8" s="112">
        <f t="shared" si="2"/>
        <v>0.47170000000000001</v>
      </c>
      <c r="AL8" s="113">
        <f t="shared" si="3"/>
        <v>5283</v>
      </c>
    </row>
    <row r="9" spans="1:38" ht="20">
      <c r="A9" s="99" t="s">
        <v>38</v>
      </c>
      <c r="B9" s="98" t="s">
        <v>39</v>
      </c>
      <c r="C9" s="103">
        <v>0</v>
      </c>
      <c r="D9" s="103">
        <v>48</v>
      </c>
      <c r="E9" s="103">
        <v>346</v>
      </c>
      <c r="F9" s="103">
        <v>545</v>
      </c>
      <c r="G9" s="103">
        <v>354</v>
      </c>
      <c r="H9" s="103">
        <v>0</v>
      </c>
      <c r="I9" s="103">
        <v>88</v>
      </c>
      <c r="J9" s="103">
        <v>10</v>
      </c>
      <c r="K9" s="103">
        <v>0</v>
      </c>
      <c r="L9" s="103">
        <v>0</v>
      </c>
      <c r="M9" s="103">
        <v>381</v>
      </c>
      <c r="N9" s="103">
        <v>641</v>
      </c>
      <c r="O9" s="103">
        <v>329</v>
      </c>
      <c r="P9" s="103">
        <v>199</v>
      </c>
      <c r="Q9" s="103">
        <v>426</v>
      </c>
      <c r="R9" s="103">
        <v>520</v>
      </c>
      <c r="S9" s="103">
        <v>99</v>
      </c>
      <c r="T9" s="103">
        <v>93</v>
      </c>
      <c r="U9" s="103">
        <v>1</v>
      </c>
      <c r="V9" s="103">
        <v>6</v>
      </c>
      <c r="W9" s="103">
        <v>0</v>
      </c>
      <c r="X9" s="103">
        <v>88</v>
      </c>
      <c r="Y9" s="103">
        <v>546</v>
      </c>
      <c r="Z9" s="103">
        <v>545</v>
      </c>
      <c r="AA9" s="103">
        <v>161</v>
      </c>
      <c r="AB9" s="103">
        <v>0</v>
      </c>
      <c r="AC9" s="103">
        <v>1</v>
      </c>
      <c r="AD9" s="103">
        <v>327</v>
      </c>
      <c r="AE9" s="103">
        <v>400</v>
      </c>
      <c r="AF9" s="103">
        <v>532</v>
      </c>
      <c r="AG9" s="103">
        <v>1</v>
      </c>
      <c r="AH9" s="110">
        <f t="shared" si="0"/>
        <v>215.70967741935485</v>
      </c>
      <c r="AI9" s="111">
        <v>10000</v>
      </c>
      <c r="AJ9" s="111">
        <f t="shared" si="1"/>
        <v>6687</v>
      </c>
      <c r="AK9" s="112">
        <f t="shared" si="2"/>
        <v>0.66869999999999996</v>
      </c>
      <c r="AL9" s="113">
        <f t="shared" si="3"/>
        <v>3313</v>
      </c>
    </row>
    <row r="10" spans="1:38" ht="20">
      <c r="A10" s="114" t="s">
        <v>40</v>
      </c>
      <c r="B10" s="102" t="s">
        <v>68</v>
      </c>
      <c r="C10" s="104"/>
      <c r="D10" s="104"/>
      <c r="E10" s="105"/>
      <c r="F10" s="105"/>
      <c r="G10" s="105"/>
      <c r="H10" s="104"/>
      <c r="I10" s="104"/>
      <c r="J10" s="104"/>
      <c r="K10" s="105"/>
      <c r="L10" s="105"/>
      <c r="M10" s="105"/>
      <c r="N10" s="105"/>
      <c r="O10" s="10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10" t="e">
        <f>AVERAGE(C10:AG10)</f>
        <v>#DIV/0!</v>
      </c>
      <c r="AI10" s="111">
        <v>10000</v>
      </c>
      <c r="AJ10" s="111">
        <f>SUM(C10:AG10)</f>
        <v>0</v>
      </c>
      <c r="AK10" s="112">
        <f>AJ10/AI10</f>
        <v>0</v>
      </c>
      <c r="AL10" s="113">
        <f>AI10-AJ10</f>
        <v>10000</v>
      </c>
    </row>
    <row r="11" spans="1:38" ht="20">
      <c r="A11" s="99" t="s">
        <v>41</v>
      </c>
      <c r="B11" s="98" t="s">
        <v>42</v>
      </c>
      <c r="C11" s="103">
        <v>674</v>
      </c>
      <c r="D11" s="103">
        <v>155</v>
      </c>
      <c r="E11" s="103">
        <v>19</v>
      </c>
      <c r="F11" s="103">
        <v>455</v>
      </c>
      <c r="G11" s="103">
        <v>515</v>
      </c>
      <c r="H11" s="103">
        <v>231</v>
      </c>
      <c r="I11" s="103">
        <v>1</v>
      </c>
      <c r="J11" s="103">
        <v>92</v>
      </c>
      <c r="K11" s="103">
        <v>7</v>
      </c>
      <c r="L11" s="103">
        <v>2</v>
      </c>
      <c r="M11" s="103">
        <v>2</v>
      </c>
      <c r="N11" s="103">
        <v>2</v>
      </c>
      <c r="O11" s="103">
        <v>1</v>
      </c>
      <c r="P11" s="103">
        <v>1</v>
      </c>
      <c r="Q11" s="103">
        <v>1</v>
      </c>
      <c r="R11" s="103">
        <v>1</v>
      </c>
      <c r="S11" s="103">
        <v>1</v>
      </c>
      <c r="T11" s="103">
        <v>1</v>
      </c>
      <c r="U11" s="103">
        <v>2</v>
      </c>
      <c r="V11" s="103">
        <v>2</v>
      </c>
      <c r="W11" s="103">
        <v>2</v>
      </c>
      <c r="X11" s="103">
        <v>85</v>
      </c>
      <c r="Y11" s="103">
        <v>317</v>
      </c>
      <c r="Z11" s="103">
        <v>465</v>
      </c>
      <c r="AA11" s="103">
        <v>1</v>
      </c>
      <c r="AB11" s="103">
        <v>194</v>
      </c>
      <c r="AC11" s="103">
        <v>493</v>
      </c>
      <c r="AD11" s="103">
        <v>518</v>
      </c>
      <c r="AE11" s="103">
        <v>1</v>
      </c>
      <c r="AF11" s="103">
        <v>87</v>
      </c>
      <c r="AG11" s="103">
        <v>1</v>
      </c>
      <c r="AH11" s="110">
        <f t="shared" si="0"/>
        <v>139.64516129032259</v>
      </c>
      <c r="AI11" s="111">
        <v>10000</v>
      </c>
      <c r="AJ11" s="111">
        <f t="shared" si="1"/>
        <v>4329</v>
      </c>
      <c r="AK11" s="112">
        <f t="shared" si="2"/>
        <v>0.43290000000000001</v>
      </c>
      <c r="AL11" s="113">
        <f t="shared" si="3"/>
        <v>5671</v>
      </c>
    </row>
    <row r="12" spans="1:38" ht="20">
      <c r="A12" s="99" t="s">
        <v>43</v>
      </c>
      <c r="B12" s="98" t="s">
        <v>44</v>
      </c>
      <c r="C12" s="103">
        <v>0</v>
      </c>
      <c r="D12" s="103">
        <v>32</v>
      </c>
      <c r="E12" s="103">
        <v>325</v>
      </c>
      <c r="F12" s="103">
        <v>534</v>
      </c>
      <c r="G12" s="103">
        <v>341</v>
      </c>
      <c r="H12" s="103">
        <v>0</v>
      </c>
      <c r="I12" s="103">
        <v>91</v>
      </c>
      <c r="J12" s="103">
        <v>6</v>
      </c>
      <c r="K12" s="103">
        <v>0</v>
      </c>
      <c r="L12" s="103">
        <v>0</v>
      </c>
      <c r="M12" s="103">
        <v>372</v>
      </c>
      <c r="N12" s="103">
        <v>620</v>
      </c>
      <c r="O12" s="103">
        <v>308</v>
      </c>
      <c r="P12" s="103">
        <v>192</v>
      </c>
      <c r="Q12" s="103">
        <v>410</v>
      </c>
      <c r="R12" s="103">
        <v>497</v>
      </c>
      <c r="S12" s="103">
        <v>103</v>
      </c>
      <c r="T12" s="103">
        <v>91</v>
      </c>
      <c r="U12" s="103">
        <v>0</v>
      </c>
      <c r="V12" s="103">
        <v>6</v>
      </c>
      <c r="W12" s="103">
        <v>1</v>
      </c>
      <c r="X12" s="103">
        <v>86</v>
      </c>
      <c r="Y12" s="103">
        <v>533</v>
      </c>
      <c r="Z12" s="103">
        <v>526</v>
      </c>
      <c r="AA12" s="103">
        <v>157</v>
      </c>
      <c r="AB12" s="103">
        <v>1</v>
      </c>
      <c r="AC12" s="103">
        <v>1</v>
      </c>
      <c r="AD12" s="103">
        <v>315</v>
      </c>
      <c r="AE12" s="103">
        <v>388</v>
      </c>
      <c r="AF12" s="103">
        <v>513</v>
      </c>
      <c r="AG12" s="103">
        <v>1</v>
      </c>
      <c r="AH12" s="110">
        <f t="shared" si="0"/>
        <v>208.06451612903226</v>
      </c>
      <c r="AI12" s="111">
        <v>10000</v>
      </c>
      <c r="AJ12" s="111">
        <f t="shared" si="1"/>
        <v>6450</v>
      </c>
      <c r="AK12" s="112">
        <f t="shared" si="2"/>
        <v>0.64500000000000002</v>
      </c>
      <c r="AL12" s="113">
        <f t="shared" si="3"/>
        <v>3550</v>
      </c>
    </row>
    <row r="13" spans="1:38" ht="20">
      <c r="A13" s="99" t="s">
        <v>45</v>
      </c>
      <c r="B13" s="98" t="s">
        <v>46</v>
      </c>
      <c r="C13" s="103">
        <v>90</v>
      </c>
      <c r="D13" s="103">
        <v>593</v>
      </c>
      <c r="E13" s="103">
        <v>649</v>
      </c>
      <c r="F13" s="103">
        <v>274</v>
      </c>
      <c r="G13" s="103">
        <v>74</v>
      </c>
      <c r="H13" s="103">
        <v>510</v>
      </c>
      <c r="I13" s="103">
        <v>495</v>
      </c>
      <c r="J13" s="103">
        <v>111</v>
      </c>
      <c r="K13" s="103">
        <v>92</v>
      </c>
      <c r="L13" s="103">
        <v>7</v>
      </c>
      <c r="M13" s="103">
        <v>1</v>
      </c>
      <c r="N13" s="103">
        <v>411</v>
      </c>
      <c r="O13" s="103">
        <v>665</v>
      </c>
      <c r="P13" s="103">
        <v>255</v>
      </c>
      <c r="Q13" s="103">
        <v>521</v>
      </c>
      <c r="R13" s="103">
        <v>477</v>
      </c>
      <c r="S13" s="103">
        <v>200</v>
      </c>
      <c r="T13" s="103">
        <v>0</v>
      </c>
      <c r="U13" s="103">
        <v>0</v>
      </c>
      <c r="V13" s="103">
        <v>0</v>
      </c>
      <c r="W13" s="103">
        <v>0</v>
      </c>
      <c r="X13" s="103">
        <v>84</v>
      </c>
      <c r="Y13" s="103">
        <v>206</v>
      </c>
      <c r="Z13" s="103">
        <v>662</v>
      </c>
      <c r="AA13" s="103">
        <v>350</v>
      </c>
      <c r="AB13" s="103">
        <v>2</v>
      </c>
      <c r="AC13" s="103">
        <v>2</v>
      </c>
      <c r="AD13" s="103">
        <v>352</v>
      </c>
      <c r="AE13" s="103">
        <v>596</v>
      </c>
      <c r="AF13" s="103">
        <v>271</v>
      </c>
      <c r="AG13" s="103">
        <v>2</v>
      </c>
      <c r="AH13" s="110">
        <f t="shared" si="0"/>
        <v>256.51612903225805</v>
      </c>
      <c r="AI13" s="111">
        <v>10000</v>
      </c>
      <c r="AJ13" s="111">
        <f t="shared" si="1"/>
        <v>7952</v>
      </c>
      <c r="AK13" s="112">
        <f t="shared" si="2"/>
        <v>0.79520000000000002</v>
      </c>
      <c r="AL13" s="113">
        <f t="shared" si="3"/>
        <v>2048</v>
      </c>
    </row>
    <row r="14" spans="1:38" ht="20">
      <c r="A14" s="99" t="s">
        <v>47</v>
      </c>
      <c r="B14" s="98" t="s">
        <v>48</v>
      </c>
      <c r="C14" s="103">
        <v>136</v>
      </c>
      <c r="D14" s="103">
        <v>700</v>
      </c>
      <c r="E14" s="103">
        <v>491</v>
      </c>
      <c r="F14" s="103">
        <v>354</v>
      </c>
      <c r="G14" s="103">
        <v>513</v>
      </c>
      <c r="H14" s="103">
        <v>384</v>
      </c>
      <c r="I14" s="103">
        <v>0</v>
      </c>
      <c r="J14" s="103">
        <v>93</v>
      </c>
      <c r="K14" s="103">
        <v>6</v>
      </c>
      <c r="L14" s="103">
        <v>1</v>
      </c>
      <c r="M14" s="103">
        <v>72</v>
      </c>
      <c r="N14" s="103">
        <v>365</v>
      </c>
      <c r="O14" s="103">
        <v>620</v>
      </c>
      <c r="P14" s="103">
        <v>282</v>
      </c>
      <c r="Q14" s="103">
        <v>19</v>
      </c>
      <c r="R14" s="103">
        <v>476</v>
      </c>
      <c r="S14" s="103">
        <v>538</v>
      </c>
      <c r="T14" s="103">
        <v>210</v>
      </c>
      <c r="U14" s="103">
        <v>0</v>
      </c>
      <c r="V14" s="103">
        <v>92</v>
      </c>
      <c r="W14" s="103">
        <v>7</v>
      </c>
      <c r="X14" s="103">
        <v>86</v>
      </c>
      <c r="Y14" s="103">
        <v>331</v>
      </c>
      <c r="Z14" s="103">
        <v>631</v>
      </c>
      <c r="AA14" s="103">
        <v>284</v>
      </c>
      <c r="AB14" s="103">
        <v>0</v>
      </c>
      <c r="AC14" s="103">
        <v>19</v>
      </c>
      <c r="AD14" s="103">
        <v>339</v>
      </c>
      <c r="AE14" s="103">
        <v>370</v>
      </c>
      <c r="AF14" s="103">
        <v>525</v>
      </c>
      <c r="AG14" s="103">
        <v>1</v>
      </c>
      <c r="AH14" s="110">
        <f t="shared" si="0"/>
        <v>256.29032258064518</v>
      </c>
      <c r="AI14" s="111">
        <v>10000</v>
      </c>
      <c r="AJ14" s="111">
        <f t="shared" si="1"/>
        <v>7945</v>
      </c>
      <c r="AK14" s="112">
        <f t="shared" si="2"/>
        <v>0.79449999999999998</v>
      </c>
      <c r="AL14" s="113">
        <f t="shared" si="3"/>
        <v>2055</v>
      </c>
    </row>
    <row r="15" spans="1:38" ht="20">
      <c r="A15" s="99" t="s">
        <v>49</v>
      </c>
      <c r="B15" s="98" t="s">
        <v>50</v>
      </c>
      <c r="C15" s="103">
        <v>154</v>
      </c>
      <c r="D15" s="103">
        <v>22</v>
      </c>
      <c r="E15" s="103">
        <v>176</v>
      </c>
      <c r="F15" s="103">
        <v>506</v>
      </c>
      <c r="G15" s="103">
        <v>411</v>
      </c>
      <c r="H15" s="103">
        <v>111</v>
      </c>
      <c r="I15" s="103">
        <v>91</v>
      </c>
      <c r="J15" s="103">
        <v>7</v>
      </c>
      <c r="K15" s="103">
        <v>0</v>
      </c>
      <c r="L15" s="103">
        <v>0</v>
      </c>
      <c r="M15" s="103">
        <v>429</v>
      </c>
      <c r="N15" s="103">
        <v>562</v>
      </c>
      <c r="O15" s="103">
        <v>316</v>
      </c>
      <c r="P15" s="103">
        <v>19</v>
      </c>
      <c r="Q15" s="103">
        <v>1</v>
      </c>
      <c r="R15" s="103">
        <v>1</v>
      </c>
      <c r="S15" s="103">
        <v>0</v>
      </c>
      <c r="T15" s="103">
        <v>0</v>
      </c>
      <c r="U15" s="103">
        <v>173</v>
      </c>
      <c r="V15" s="103">
        <v>524</v>
      </c>
      <c r="W15" s="103">
        <v>504</v>
      </c>
      <c r="X15" s="103">
        <v>0</v>
      </c>
      <c r="Y15" s="103">
        <v>91</v>
      </c>
      <c r="Z15" s="103">
        <v>0</v>
      </c>
      <c r="AA15" s="103">
        <v>1</v>
      </c>
      <c r="AB15" s="103">
        <v>6</v>
      </c>
      <c r="AC15" s="103">
        <v>199</v>
      </c>
      <c r="AD15" s="103">
        <v>270</v>
      </c>
      <c r="AE15" s="103">
        <v>7</v>
      </c>
      <c r="AF15" s="103">
        <v>0</v>
      </c>
      <c r="AG15" s="103">
        <v>0</v>
      </c>
      <c r="AH15" s="110">
        <f t="shared" si="0"/>
        <v>147.7741935483871</v>
      </c>
      <c r="AI15" s="111">
        <v>10000</v>
      </c>
      <c r="AJ15" s="111">
        <f t="shared" si="1"/>
        <v>4581</v>
      </c>
      <c r="AK15" s="112">
        <f t="shared" si="2"/>
        <v>0.45810000000000001</v>
      </c>
      <c r="AL15" s="113">
        <f t="shared" si="3"/>
        <v>5419</v>
      </c>
    </row>
    <row r="16" spans="1:38" ht="20">
      <c r="A16" s="99" t="s">
        <v>51</v>
      </c>
      <c r="B16" s="98" t="s">
        <v>52</v>
      </c>
      <c r="C16" s="103">
        <v>607</v>
      </c>
      <c r="D16" s="103">
        <v>466</v>
      </c>
      <c r="E16" s="103">
        <v>136</v>
      </c>
      <c r="F16" s="103">
        <v>451</v>
      </c>
      <c r="G16" s="103">
        <v>563</v>
      </c>
      <c r="H16" s="103">
        <v>193</v>
      </c>
      <c r="I16" s="103">
        <v>0</v>
      </c>
      <c r="J16" s="103">
        <v>92</v>
      </c>
      <c r="K16" s="103">
        <v>6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1</v>
      </c>
      <c r="R16" s="103">
        <v>114</v>
      </c>
      <c r="S16" s="103">
        <v>204</v>
      </c>
      <c r="T16" s="103">
        <v>795</v>
      </c>
      <c r="U16" s="103">
        <v>206</v>
      </c>
      <c r="V16" s="103">
        <v>194</v>
      </c>
      <c r="W16" s="103">
        <v>77</v>
      </c>
      <c r="X16" s="103">
        <v>13</v>
      </c>
      <c r="Y16" s="103">
        <v>275</v>
      </c>
      <c r="Z16" s="103">
        <v>473</v>
      </c>
      <c r="AA16" s="103">
        <v>198</v>
      </c>
      <c r="AB16" s="103">
        <v>0</v>
      </c>
      <c r="AC16" s="103">
        <v>90</v>
      </c>
      <c r="AD16" s="103">
        <v>0</v>
      </c>
      <c r="AE16" s="103">
        <v>1</v>
      </c>
      <c r="AF16" s="103">
        <v>367</v>
      </c>
      <c r="AG16" s="103">
        <v>126</v>
      </c>
      <c r="AH16" s="110">
        <f t="shared" si="0"/>
        <v>182.19354838709677</v>
      </c>
      <c r="AI16" s="111">
        <v>10000</v>
      </c>
      <c r="AJ16" s="111">
        <f t="shared" si="1"/>
        <v>5648</v>
      </c>
      <c r="AK16" s="112">
        <f t="shared" si="2"/>
        <v>0.56479999999999997</v>
      </c>
      <c r="AL16" s="113">
        <f t="shared" si="3"/>
        <v>4352</v>
      </c>
    </row>
    <row r="17" spans="1:38" ht="20">
      <c r="A17" s="109" t="s">
        <v>53</v>
      </c>
      <c r="B17" s="98" t="s">
        <v>54</v>
      </c>
      <c r="C17" s="103">
        <v>0</v>
      </c>
      <c r="D17" s="103">
        <v>154</v>
      </c>
      <c r="E17" s="103">
        <v>473</v>
      </c>
      <c r="F17" s="103">
        <v>527</v>
      </c>
      <c r="G17" s="103">
        <v>205</v>
      </c>
      <c r="H17" s="103">
        <v>0</v>
      </c>
      <c r="I17" s="103">
        <v>91</v>
      </c>
      <c r="J17" s="103">
        <v>6</v>
      </c>
      <c r="K17" s="103">
        <v>1</v>
      </c>
      <c r="L17" s="103">
        <v>1</v>
      </c>
      <c r="M17" s="103">
        <v>374</v>
      </c>
      <c r="N17" s="103">
        <v>627</v>
      </c>
      <c r="O17" s="103">
        <v>310</v>
      </c>
      <c r="P17" s="103">
        <v>239</v>
      </c>
      <c r="Q17" s="103">
        <v>462</v>
      </c>
      <c r="R17" s="103">
        <v>517</v>
      </c>
      <c r="S17" s="103">
        <v>1</v>
      </c>
      <c r="T17" s="103">
        <v>92</v>
      </c>
      <c r="U17" s="103">
        <v>0</v>
      </c>
      <c r="V17" s="103">
        <v>6</v>
      </c>
      <c r="W17" s="103">
        <v>0</v>
      </c>
      <c r="X17" s="103">
        <v>86</v>
      </c>
      <c r="Y17" s="103">
        <v>537</v>
      </c>
      <c r="Z17" s="103">
        <v>525</v>
      </c>
      <c r="AA17" s="103">
        <v>158</v>
      </c>
      <c r="AB17" s="103">
        <v>0</v>
      </c>
      <c r="AC17" s="103">
        <v>1</v>
      </c>
      <c r="AD17" s="103">
        <v>346</v>
      </c>
      <c r="AE17" s="103">
        <v>490</v>
      </c>
      <c r="AF17" s="103">
        <v>377</v>
      </c>
      <c r="AG17" s="103">
        <v>1</v>
      </c>
      <c r="AH17" s="110">
        <f t="shared" si="0"/>
        <v>213.12903225806451</v>
      </c>
      <c r="AI17" s="111">
        <v>10000</v>
      </c>
      <c r="AJ17" s="111">
        <f t="shared" si="1"/>
        <v>6607</v>
      </c>
      <c r="AK17" s="112">
        <f t="shared" si="2"/>
        <v>0.66069999999999995</v>
      </c>
      <c r="AL17" s="113">
        <f t="shared" si="3"/>
        <v>3393</v>
      </c>
    </row>
    <row r="18" spans="1:38" ht="20">
      <c r="A18" s="99" t="s">
        <v>55</v>
      </c>
      <c r="B18" s="98" t="s">
        <v>68</v>
      </c>
      <c r="C18" s="103">
        <v>26</v>
      </c>
      <c r="D18" s="103">
        <v>0</v>
      </c>
      <c r="E18" s="103">
        <v>0</v>
      </c>
      <c r="F18" s="103">
        <v>0</v>
      </c>
      <c r="G18" s="103">
        <v>308</v>
      </c>
      <c r="H18" s="103">
        <v>226</v>
      </c>
      <c r="I18" s="103">
        <v>1</v>
      </c>
      <c r="J18" s="103">
        <v>1</v>
      </c>
      <c r="K18" s="103">
        <v>1</v>
      </c>
      <c r="L18" s="103">
        <v>0</v>
      </c>
      <c r="M18" s="103">
        <v>1</v>
      </c>
      <c r="N18" s="103">
        <v>1</v>
      </c>
      <c r="O18" s="103">
        <v>32</v>
      </c>
      <c r="P18" s="103">
        <v>5</v>
      </c>
      <c r="Q18" s="103">
        <v>1</v>
      </c>
      <c r="R18" s="103">
        <v>6</v>
      </c>
      <c r="S18" s="103">
        <v>0</v>
      </c>
      <c r="T18" s="103">
        <v>304</v>
      </c>
      <c r="U18" s="103">
        <v>326</v>
      </c>
      <c r="V18" s="103">
        <v>260</v>
      </c>
      <c r="W18" s="103">
        <v>0</v>
      </c>
      <c r="X18" s="103">
        <v>0</v>
      </c>
      <c r="Y18" s="103">
        <v>0</v>
      </c>
      <c r="Z18" s="103">
        <v>0</v>
      </c>
      <c r="AA18" s="103">
        <v>0</v>
      </c>
      <c r="AB18" s="103">
        <v>0</v>
      </c>
      <c r="AC18" s="103">
        <v>13</v>
      </c>
      <c r="AD18" s="103">
        <v>0</v>
      </c>
      <c r="AE18" s="103">
        <v>103</v>
      </c>
      <c r="AF18" s="103">
        <v>490</v>
      </c>
      <c r="AG18" s="103">
        <v>402</v>
      </c>
      <c r="AH18" s="110">
        <f t="shared" si="0"/>
        <v>80.870967741935488</v>
      </c>
      <c r="AI18" s="111">
        <v>10000</v>
      </c>
      <c r="AJ18" s="111">
        <f t="shared" si="1"/>
        <v>2507</v>
      </c>
      <c r="AK18" s="112">
        <f t="shared" si="2"/>
        <v>0.25069999999999998</v>
      </c>
      <c r="AL18" s="113">
        <f t="shared" si="3"/>
        <v>7493</v>
      </c>
    </row>
    <row r="19" spans="1:38" ht="20">
      <c r="A19" s="115" t="s">
        <v>58</v>
      </c>
      <c r="B19" s="98" t="s">
        <v>59</v>
      </c>
      <c r="C19" s="103">
        <v>579</v>
      </c>
      <c r="D19" s="103">
        <v>455</v>
      </c>
      <c r="E19" s="103">
        <v>138</v>
      </c>
      <c r="F19" s="103">
        <v>454</v>
      </c>
      <c r="G19" s="103">
        <v>556</v>
      </c>
      <c r="H19" s="103">
        <v>194</v>
      </c>
      <c r="I19" s="103">
        <v>1</v>
      </c>
      <c r="J19" s="103">
        <v>92</v>
      </c>
      <c r="K19" s="103">
        <v>6</v>
      </c>
      <c r="L19" s="103">
        <v>1</v>
      </c>
      <c r="M19" s="103">
        <v>70</v>
      </c>
      <c r="N19" s="103">
        <v>360</v>
      </c>
      <c r="O19" s="103">
        <v>604</v>
      </c>
      <c r="P19" s="103">
        <v>273</v>
      </c>
      <c r="Q19" s="103">
        <v>19</v>
      </c>
      <c r="R19" s="103">
        <v>175</v>
      </c>
      <c r="S19" s="103">
        <v>411</v>
      </c>
      <c r="T19" s="103">
        <v>506</v>
      </c>
      <c r="U19" s="103">
        <v>112</v>
      </c>
      <c r="V19" s="103">
        <v>90</v>
      </c>
      <c r="W19" s="103">
        <v>6</v>
      </c>
      <c r="X19" s="103">
        <v>0</v>
      </c>
      <c r="Y19" s="103">
        <v>84</v>
      </c>
      <c r="Z19" s="103">
        <v>197</v>
      </c>
      <c r="AA19" s="103">
        <v>497</v>
      </c>
      <c r="AB19" s="103">
        <v>418</v>
      </c>
      <c r="AC19" s="103">
        <v>121</v>
      </c>
      <c r="AD19" s="103">
        <v>1</v>
      </c>
      <c r="AE19" s="103">
        <v>121</v>
      </c>
      <c r="AF19" s="103">
        <v>444</v>
      </c>
      <c r="AG19" s="103">
        <v>451</v>
      </c>
      <c r="AH19" s="110">
        <f t="shared" si="0"/>
        <v>239.87096774193549</v>
      </c>
      <c r="AI19" s="111">
        <v>10000</v>
      </c>
      <c r="AJ19" s="111">
        <f t="shared" si="1"/>
        <v>7436</v>
      </c>
      <c r="AK19" s="112">
        <f t="shared" si="2"/>
        <v>0.74360000000000004</v>
      </c>
      <c r="AL19" s="113">
        <f t="shared" si="3"/>
        <v>2564</v>
      </c>
    </row>
    <row r="20" spans="1:38" ht="20">
      <c r="A20" s="99" t="s">
        <v>60</v>
      </c>
      <c r="B20" s="98" t="s">
        <v>61</v>
      </c>
      <c r="C20" s="103">
        <v>311</v>
      </c>
      <c r="D20" s="103">
        <v>91</v>
      </c>
      <c r="E20" s="103">
        <v>108</v>
      </c>
      <c r="F20" s="103">
        <v>235</v>
      </c>
      <c r="G20" s="103">
        <v>565</v>
      </c>
      <c r="H20" s="103">
        <v>437</v>
      </c>
      <c r="I20" s="103">
        <v>364</v>
      </c>
      <c r="J20" s="103">
        <v>577</v>
      </c>
      <c r="K20" s="103">
        <v>263</v>
      </c>
      <c r="L20" s="103">
        <v>68</v>
      </c>
      <c r="M20" s="103">
        <v>29</v>
      </c>
      <c r="N20" s="103">
        <v>378</v>
      </c>
      <c r="O20" s="103">
        <v>577</v>
      </c>
      <c r="P20" s="103">
        <v>113</v>
      </c>
      <c r="Q20" s="103">
        <v>0</v>
      </c>
      <c r="R20" s="103">
        <v>299</v>
      </c>
      <c r="S20" s="103">
        <v>563</v>
      </c>
      <c r="T20" s="103">
        <v>324</v>
      </c>
      <c r="U20" s="103">
        <v>0</v>
      </c>
      <c r="V20" s="103">
        <v>52</v>
      </c>
      <c r="W20" s="103">
        <v>47</v>
      </c>
      <c r="X20" s="103">
        <v>86</v>
      </c>
      <c r="Y20" s="103">
        <v>252</v>
      </c>
      <c r="Z20" s="103">
        <v>478</v>
      </c>
      <c r="AA20" s="103">
        <v>512</v>
      </c>
      <c r="AB20" s="103">
        <v>1</v>
      </c>
      <c r="AC20" s="103">
        <v>1</v>
      </c>
      <c r="AD20" s="103">
        <v>18</v>
      </c>
      <c r="AE20" s="103">
        <v>270</v>
      </c>
      <c r="AF20" s="103">
        <v>506</v>
      </c>
      <c r="AG20" s="103">
        <v>436</v>
      </c>
      <c r="AH20" s="110">
        <f t="shared" si="0"/>
        <v>256.80645161290323</v>
      </c>
      <c r="AI20" s="111">
        <v>10000</v>
      </c>
      <c r="AJ20" s="111">
        <f t="shared" si="1"/>
        <v>7961</v>
      </c>
      <c r="AK20" s="112">
        <f t="shared" si="2"/>
        <v>0.79610000000000003</v>
      </c>
      <c r="AL20" s="113">
        <f t="shared" si="3"/>
        <v>2039</v>
      </c>
    </row>
    <row r="21" spans="1:38" ht="20">
      <c r="A21" s="99" t="s">
        <v>62</v>
      </c>
      <c r="B21" s="98" t="s">
        <v>63</v>
      </c>
      <c r="C21" s="103">
        <v>73</v>
      </c>
      <c r="D21" s="103">
        <v>97</v>
      </c>
      <c r="E21" s="103">
        <v>164</v>
      </c>
      <c r="F21" s="103">
        <v>652</v>
      </c>
      <c r="G21" s="103">
        <v>491</v>
      </c>
      <c r="H21" s="103">
        <v>18</v>
      </c>
      <c r="I21" s="103">
        <v>473</v>
      </c>
      <c r="J21" s="103">
        <v>524</v>
      </c>
      <c r="K21" s="103">
        <v>206</v>
      </c>
      <c r="L21" s="103">
        <v>90</v>
      </c>
      <c r="M21" s="103">
        <v>7</v>
      </c>
      <c r="N21" s="103">
        <v>431</v>
      </c>
      <c r="O21" s="103">
        <v>603</v>
      </c>
      <c r="P21" s="103">
        <v>273</v>
      </c>
      <c r="Q21" s="103">
        <v>18</v>
      </c>
      <c r="R21" s="103">
        <v>370</v>
      </c>
      <c r="S21" s="103">
        <v>623</v>
      </c>
      <c r="T21" s="103">
        <v>206</v>
      </c>
      <c r="U21" s="103">
        <v>0</v>
      </c>
      <c r="V21" s="103">
        <v>91</v>
      </c>
      <c r="W21" s="103">
        <v>6</v>
      </c>
      <c r="X21" s="103">
        <v>84</v>
      </c>
      <c r="Y21" s="103">
        <v>345</v>
      </c>
      <c r="Z21" s="103">
        <v>599</v>
      </c>
      <c r="AA21" s="103">
        <v>274</v>
      </c>
      <c r="AB21" s="103">
        <v>1</v>
      </c>
      <c r="AC21" s="103">
        <v>1</v>
      </c>
      <c r="AD21" s="103">
        <v>345</v>
      </c>
      <c r="AE21" s="103">
        <v>356</v>
      </c>
      <c r="AF21" s="103">
        <v>514</v>
      </c>
      <c r="AG21" s="103">
        <v>1</v>
      </c>
      <c r="AH21" s="110">
        <f t="shared" si="0"/>
        <v>256</v>
      </c>
      <c r="AI21" s="111">
        <v>10000</v>
      </c>
      <c r="AJ21" s="111">
        <f t="shared" si="1"/>
        <v>7936</v>
      </c>
      <c r="AK21" s="112">
        <f t="shared" si="2"/>
        <v>0.79359999999999997</v>
      </c>
      <c r="AL21" s="113">
        <f t="shared" si="3"/>
        <v>2064</v>
      </c>
    </row>
    <row r="22" spans="1:38" ht="20">
      <c r="A22" s="99" t="s">
        <v>64</v>
      </c>
      <c r="B22" s="98" t="s">
        <v>65</v>
      </c>
      <c r="C22" s="103">
        <v>0</v>
      </c>
      <c r="D22" s="103">
        <v>0</v>
      </c>
      <c r="E22" s="103">
        <v>0</v>
      </c>
      <c r="F22" s="103">
        <v>0</v>
      </c>
      <c r="G22" s="103">
        <v>0</v>
      </c>
      <c r="H22" s="103">
        <v>0</v>
      </c>
      <c r="I22" s="103">
        <v>85</v>
      </c>
      <c r="J22" s="103">
        <v>263</v>
      </c>
      <c r="K22" s="103">
        <v>789</v>
      </c>
      <c r="L22" s="103">
        <v>157</v>
      </c>
      <c r="M22" s="103">
        <v>18</v>
      </c>
      <c r="N22" s="103">
        <v>551</v>
      </c>
      <c r="O22" s="103">
        <v>449</v>
      </c>
      <c r="P22" s="103">
        <v>205</v>
      </c>
      <c r="Q22" s="103">
        <v>92</v>
      </c>
      <c r="R22" s="103">
        <v>7</v>
      </c>
      <c r="S22" s="103">
        <v>84</v>
      </c>
      <c r="T22" s="103">
        <v>837</v>
      </c>
      <c r="U22" s="103">
        <v>388</v>
      </c>
      <c r="V22" s="103">
        <v>194</v>
      </c>
      <c r="W22" s="103">
        <v>511</v>
      </c>
      <c r="X22" s="103">
        <v>513</v>
      </c>
      <c r="Y22" s="103">
        <v>1</v>
      </c>
      <c r="Z22" s="103">
        <v>1</v>
      </c>
      <c r="AA22" s="103">
        <v>89</v>
      </c>
      <c r="AB22" s="103">
        <v>1</v>
      </c>
      <c r="AC22" s="103">
        <v>138</v>
      </c>
      <c r="AD22" s="103">
        <v>335</v>
      </c>
      <c r="AE22" s="103">
        <v>37</v>
      </c>
      <c r="AF22" s="103">
        <v>336</v>
      </c>
      <c r="AG22" s="103">
        <v>422</v>
      </c>
      <c r="AH22" s="110" t="s">
        <v>114</v>
      </c>
      <c r="AI22" s="111">
        <v>10000</v>
      </c>
      <c r="AJ22" s="111">
        <f t="shared" si="1"/>
        <v>6503</v>
      </c>
      <c r="AK22" s="112">
        <f t="shared" si="2"/>
        <v>0.65029999999999999</v>
      </c>
      <c r="AL22" s="113">
        <f t="shared" si="3"/>
        <v>3497</v>
      </c>
    </row>
    <row r="23" spans="1:38" ht="20">
      <c r="A23" s="114" t="s">
        <v>56</v>
      </c>
      <c r="B23" s="102" t="s">
        <v>57</v>
      </c>
      <c r="C23" s="104"/>
      <c r="D23" s="104"/>
      <c r="E23" s="105"/>
      <c r="F23" s="105"/>
      <c r="G23" s="105"/>
      <c r="H23" s="104"/>
      <c r="I23" s="104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10" t="e">
        <f>AVERAGE(C23:AG23)</f>
        <v>#DIV/0!</v>
      </c>
      <c r="AI23" s="111">
        <v>10000</v>
      </c>
      <c r="AJ23" s="111">
        <f>SUM(C23:AG23)</f>
        <v>0</v>
      </c>
      <c r="AK23" s="112">
        <f>AJ23/AI23</f>
        <v>0</v>
      </c>
      <c r="AL23" s="113">
        <f>AI23-AJ23</f>
        <v>10000</v>
      </c>
    </row>
    <row r="24" spans="1:38" s="116" customFormat="1" ht="28.5" customHeight="1">
      <c r="B24" s="124" t="s">
        <v>70</v>
      </c>
      <c r="C24" s="118">
        <f t="shared" ref="C24:AG24" si="4">SUM(C6:C22)</f>
        <v>2977</v>
      </c>
      <c r="D24" s="118">
        <f t="shared" si="4"/>
        <v>3276</v>
      </c>
      <c r="E24" s="118">
        <f t="shared" si="4"/>
        <v>3188</v>
      </c>
      <c r="F24" s="118">
        <f t="shared" si="4"/>
        <v>5629</v>
      </c>
      <c r="G24" s="118">
        <f t="shared" si="4"/>
        <v>5003</v>
      </c>
      <c r="H24" s="118">
        <f t="shared" si="4"/>
        <v>2522</v>
      </c>
      <c r="I24" s="118">
        <f t="shared" si="4"/>
        <v>2042</v>
      </c>
      <c r="J24" s="118">
        <f t="shared" si="4"/>
        <v>1929</v>
      </c>
      <c r="K24" s="118">
        <f t="shared" si="4"/>
        <v>1659</v>
      </c>
      <c r="L24" s="118">
        <f t="shared" si="4"/>
        <v>1382</v>
      </c>
      <c r="M24" s="118">
        <f t="shared" si="4"/>
        <v>2717</v>
      </c>
      <c r="N24" s="118">
        <f t="shared" si="4"/>
        <v>4999</v>
      </c>
      <c r="O24" s="118">
        <f t="shared" si="4"/>
        <v>5094</v>
      </c>
      <c r="P24" s="118">
        <f t="shared" si="4"/>
        <v>2166</v>
      </c>
      <c r="Q24" s="118">
        <f t="shared" si="4"/>
        <v>2106</v>
      </c>
      <c r="R24" s="118">
        <f t="shared" si="4"/>
        <v>3682</v>
      </c>
      <c r="S24" s="118">
        <f t="shared" si="4"/>
        <v>3404</v>
      </c>
      <c r="T24" s="118">
        <f t="shared" si="4"/>
        <v>4151</v>
      </c>
      <c r="U24" s="118">
        <f t="shared" si="4"/>
        <v>1371</v>
      </c>
      <c r="V24" s="118">
        <f t="shared" si="4"/>
        <v>1621</v>
      </c>
      <c r="W24" s="118">
        <f t="shared" si="4"/>
        <v>1498</v>
      </c>
      <c r="X24" s="118">
        <f t="shared" si="4"/>
        <v>1835</v>
      </c>
      <c r="Y24" s="118">
        <f t="shared" si="4"/>
        <v>3995</v>
      </c>
      <c r="Z24" s="118">
        <f t="shared" si="4"/>
        <v>5123</v>
      </c>
      <c r="AA24" s="118">
        <f t="shared" si="4"/>
        <v>3165</v>
      </c>
      <c r="AB24" s="118">
        <f t="shared" si="4"/>
        <v>1011</v>
      </c>
      <c r="AC24" s="118">
        <f t="shared" si="4"/>
        <v>1644</v>
      </c>
      <c r="AD24" s="118">
        <f t="shared" si="4"/>
        <v>3955</v>
      </c>
      <c r="AE24" s="118">
        <f t="shared" si="4"/>
        <v>3383</v>
      </c>
      <c r="AF24" s="118">
        <f t="shared" si="4"/>
        <v>5194</v>
      </c>
      <c r="AG24" s="118">
        <f t="shared" si="4"/>
        <v>2180</v>
      </c>
      <c r="AH24" s="119"/>
      <c r="AI24" s="120">
        <f>SUM(AI6:AI22)</f>
        <v>170000</v>
      </c>
      <c r="AJ24" s="121">
        <f>SUM(AJ6:AK22)</f>
        <v>93910.390100000019</v>
      </c>
      <c r="AK24" s="122">
        <f>AJ24/AI24</f>
        <v>0.5524140594117648</v>
      </c>
      <c r="AL24" s="119"/>
    </row>
    <row r="25" spans="1:38" s="116" customFormat="1" ht="28.5" customHeight="1">
      <c r="B25" s="124" t="s">
        <v>71</v>
      </c>
      <c r="C25" s="117">
        <v>3100</v>
      </c>
      <c r="D25" s="117">
        <v>3100</v>
      </c>
      <c r="E25" s="117">
        <v>3100</v>
      </c>
      <c r="F25" s="117">
        <v>3100</v>
      </c>
      <c r="G25" s="117">
        <v>3100</v>
      </c>
      <c r="H25" s="117">
        <v>3100</v>
      </c>
      <c r="I25" s="117">
        <v>3100</v>
      </c>
      <c r="J25" s="117">
        <v>3100</v>
      </c>
      <c r="K25" s="117">
        <v>3100</v>
      </c>
      <c r="L25" s="117">
        <v>3100</v>
      </c>
      <c r="M25" s="117">
        <v>3100</v>
      </c>
      <c r="N25" s="117">
        <v>3100</v>
      </c>
      <c r="O25" s="117">
        <v>3100</v>
      </c>
      <c r="P25" s="117">
        <v>3100</v>
      </c>
      <c r="Q25" s="117">
        <v>3100</v>
      </c>
      <c r="R25" s="117">
        <v>3100</v>
      </c>
      <c r="S25" s="117">
        <v>3100</v>
      </c>
      <c r="T25" s="117">
        <v>3100</v>
      </c>
      <c r="U25" s="117">
        <v>3100</v>
      </c>
      <c r="V25" s="117">
        <v>3100</v>
      </c>
      <c r="W25" s="117">
        <v>3100</v>
      </c>
      <c r="X25" s="117">
        <v>3100</v>
      </c>
      <c r="Y25" s="117">
        <v>3100</v>
      </c>
      <c r="Z25" s="117">
        <v>3100</v>
      </c>
      <c r="AA25" s="117">
        <v>3100</v>
      </c>
      <c r="AB25" s="117">
        <v>3100</v>
      </c>
      <c r="AC25" s="117">
        <v>3100</v>
      </c>
      <c r="AD25" s="117">
        <v>3100</v>
      </c>
      <c r="AE25" s="117">
        <v>3100</v>
      </c>
      <c r="AF25" s="117">
        <v>3100</v>
      </c>
      <c r="AG25" s="117">
        <v>3100</v>
      </c>
      <c r="AH25" s="119"/>
    </row>
    <row r="26" spans="1:38" s="116" customFormat="1" ht="15">
      <c r="B26" s="124" t="s">
        <v>72</v>
      </c>
      <c r="C26" s="123">
        <f>C27/C28</f>
        <v>0.41347222222222224</v>
      </c>
      <c r="D26" s="123">
        <f t="shared" ref="D26:AG26" si="5">D27/D28</f>
        <v>0.45500000000000002</v>
      </c>
      <c r="E26" s="123">
        <f t="shared" si="5"/>
        <v>0.44277777777777777</v>
      </c>
      <c r="F26" s="123">
        <f t="shared" si="5"/>
        <v>0.78180555555555553</v>
      </c>
      <c r="G26" s="123">
        <f t="shared" si="5"/>
        <v>0.69486111111111115</v>
      </c>
      <c r="H26" s="123">
        <f t="shared" si="5"/>
        <v>0.3502777777777778</v>
      </c>
      <c r="I26" s="123">
        <f t="shared" si="5"/>
        <v>0.28361111111111109</v>
      </c>
      <c r="J26" s="123">
        <f t="shared" si="5"/>
        <v>0.26791666666666669</v>
      </c>
      <c r="K26" s="123">
        <f t="shared" si="5"/>
        <v>0.23041666666666666</v>
      </c>
      <c r="L26" s="123">
        <f t="shared" si="5"/>
        <v>0.19194444444444445</v>
      </c>
      <c r="M26" s="123">
        <f t="shared" si="5"/>
        <v>0.37736111111111109</v>
      </c>
      <c r="N26" s="123">
        <f t="shared" si="5"/>
        <v>0.69430555555555551</v>
      </c>
      <c r="O26" s="123">
        <f t="shared" si="5"/>
        <v>0.70750000000000002</v>
      </c>
      <c r="P26" s="123">
        <f t="shared" si="5"/>
        <v>0.30083333333333334</v>
      </c>
      <c r="Q26" s="123">
        <f t="shared" si="5"/>
        <v>0.29249999999999998</v>
      </c>
      <c r="R26" s="123">
        <f t="shared" si="5"/>
        <v>0.51138888888888889</v>
      </c>
      <c r="S26" s="123">
        <f t="shared" si="5"/>
        <v>0.4727777777777778</v>
      </c>
      <c r="T26" s="123">
        <f t="shared" si="5"/>
        <v>0.57652777777777775</v>
      </c>
      <c r="U26" s="123">
        <f t="shared" si="5"/>
        <v>0.19041666666666668</v>
      </c>
      <c r="V26" s="123">
        <f t="shared" si="5"/>
        <v>0.22513888888888889</v>
      </c>
      <c r="W26" s="123">
        <f t="shared" si="5"/>
        <v>0.20805555555555555</v>
      </c>
      <c r="X26" s="123">
        <f t="shared" si="5"/>
        <v>0.25486111111111109</v>
      </c>
      <c r="Y26" s="123">
        <f t="shared" si="5"/>
        <v>0.55486111111111114</v>
      </c>
      <c r="Z26" s="123">
        <f t="shared" si="5"/>
        <v>0.71152777777777776</v>
      </c>
      <c r="AA26" s="123">
        <f t="shared" si="5"/>
        <v>0.43958333333333333</v>
      </c>
      <c r="AB26" s="123">
        <f t="shared" si="5"/>
        <v>0.14041666666666666</v>
      </c>
      <c r="AC26" s="123">
        <f t="shared" si="5"/>
        <v>0.22833333333333333</v>
      </c>
      <c r="AD26" s="123">
        <f t="shared" si="5"/>
        <v>0.5493055555555556</v>
      </c>
      <c r="AE26" s="123">
        <f t="shared" si="5"/>
        <v>0.46986111111111112</v>
      </c>
      <c r="AF26" s="123">
        <f t="shared" si="5"/>
        <v>0.72138888888888886</v>
      </c>
      <c r="AG26" s="123">
        <f t="shared" si="5"/>
        <v>0.30277777777777776</v>
      </c>
      <c r="AH26" s="119"/>
    </row>
    <row r="27" spans="1:38" s="116" customFormat="1" ht="15">
      <c r="B27" s="124" t="s">
        <v>75</v>
      </c>
      <c r="C27" s="118">
        <f>AVERAGE(C6:C22)</f>
        <v>186.0625</v>
      </c>
      <c r="D27" s="118">
        <f t="shared" ref="D27:AG27" si="6">AVERAGE(D6:D22)</f>
        <v>204.75</v>
      </c>
      <c r="E27" s="118">
        <f t="shared" si="6"/>
        <v>199.25</v>
      </c>
      <c r="F27" s="118">
        <f t="shared" si="6"/>
        <v>351.8125</v>
      </c>
      <c r="G27" s="118">
        <f t="shared" si="6"/>
        <v>312.6875</v>
      </c>
      <c r="H27" s="118">
        <f t="shared" si="6"/>
        <v>157.625</v>
      </c>
      <c r="I27" s="118">
        <f t="shared" si="6"/>
        <v>127.625</v>
      </c>
      <c r="J27" s="118">
        <f t="shared" si="6"/>
        <v>120.5625</v>
      </c>
      <c r="K27" s="118">
        <f t="shared" si="6"/>
        <v>103.6875</v>
      </c>
      <c r="L27" s="118">
        <f t="shared" si="6"/>
        <v>86.375</v>
      </c>
      <c r="M27" s="118">
        <f t="shared" si="6"/>
        <v>169.8125</v>
      </c>
      <c r="N27" s="118">
        <f t="shared" si="6"/>
        <v>312.4375</v>
      </c>
      <c r="O27" s="118">
        <f t="shared" si="6"/>
        <v>318.375</v>
      </c>
      <c r="P27" s="118">
        <f t="shared" si="6"/>
        <v>135.375</v>
      </c>
      <c r="Q27" s="118">
        <f t="shared" si="6"/>
        <v>131.625</v>
      </c>
      <c r="R27" s="118">
        <f t="shared" si="6"/>
        <v>230.125</v>
      </c>
      <c r="S27" s="118">
        <f t="shared" si="6"/>
        <v>212.75</v>
      </c>
      <c r="T27" s="118">
        <f t="shared" si="6"/>
        <v>259.4375</v>
      </c>
      <c r="U27" s="118">
        <f t="shared" si="6"/>
        <v>85.6875</v>
      </c>
      <c r="V27" s="118">
        <f t="shared" si="6"/>
        <v>101.3125</v>
      </c>
      <c r="W27" s="118">
        <f t="shared" si="6"/>
        <v>93.625</v>
      </c>
      <c r="X27" s="118">
        <f t="shared" si="6"/>
        <v>114.6875</v>
      </c>
      <c r="Y27" s="118">
        <f t="shared" si="6"/>
        <v>249.6875</v>
      </c>
      <c r="Z27" s="118">
        <f t="shared" si="6"/>
        <v>320.1875</v>
      </c>
      <c r="AA27" s="118">
        <f t="shared" si="6"/>
        <v>197.8125</v>
      </c>
      <c r="AB27" s="118">
        <f t="shared" si="6"/>
        <v>63.1875</v>
      </c>
      <c r="AC27" s="118">
        <f t="shared" si="6"/>
        <v>102.75</v>
      </c>
      <c r="AD27" s="118">
        <f t="shared" si="6"/>
        <v>247.1875</v>
      </c>
      <c r="AE27" s="118">
        <f t="shared" si="6"/>
        <v>211.4375</v>
      </c>
      <c r="AF27" s="118">
        <f t="shared" si="6"/>
        <v>324.625</v>
      </c>
      <c r="AG27" s="118">
        <f t="shared" si="6"/>
        <v>136.25</v>
      </c>
      <c r="AH27" s="126"/>
    </row>
    <row r="28" spans="1:38" s="116" customFormat="1" ht="15">
      <c r="B28" s="124" t="s">
        <v>74</v>
      </c>
      <c r="C28" s="117">
        <v>450</v>
      </c>
      <c r="D28" s="117">
        <v>450</v>
      </c>
      <c r="E28" s="117">
        <v>450</v>
      </c>
      <c r="F28" s="117">
        <v>450</v>
      </c>
      <c r="G28" s="117">
        <v>450</v>
      </c>
      <c r="H28" s="117">
        <v>450</v>
      </c>
      <c r="I28" s="117">
        <v>450</v>
      </c>
      <c r="J28" s="117">
        <v>450</v>
      </c>
      <c r="K28" s="117">
        <v>450</v>
      </c>
      <c r="L28" s="117">
        <v>450</v>
      </c>
      <c r="M28" s="117">
        <v>450</v>
      </c>
      <c r="N28" s="117">
        <v>450</v>
      </c>
      <c r="O28" s="117">
        <v>450</v>
      </c>
      <c r="P28" s="117">
        <v>450</v>
      </c>
      <c r="Q28" s="117">
        <v>450</v>
      </c>
      <c r="R28" s="117">
        <v>450</v>
      </c>
      <c r="S28" s="117">
        <v>450</v>
      </c>
      <c r="T28" s="117">
        <v>450</v>
      </c>
      <c r="U28" s="117">
        <v>450</v>
      </c>
      <c r="V28" s="117">
        <v>450</v>
      </c>
      <c r="W28" s="117">
        <v>450</v>
      </c>
      <c r="X28" s="117">
        <v>450</v>
      </c>
      <c r="Y28" s="117">
        <v>450</v>
      </c>
      <c r="Z28" s="117">
        <v>450</v>
      </c>
      <c r="AA28" s="117">
        <v>450</v>
      </c>
      <c r="AB28" s="117">
        <v>450</v>
      </c>
      <c r="AC28" s="117">
        <v>450</v>
      </c>
      <c r="AD28" s="117">
        <v>450</v>
      </c>
      <c r="AE28" s="117">
        <v>450</v>
      </c>
      <c r="AF28" s="117">
        <v>450</v>
      </c>
      <c r="AG28" s="117">
        <v>450</v>
      </c>
    </row>
  </sheetData>
  <mergeCells count="1">
    <mergeCell ref="C1:AG1"/>
  </mergeCells>
  <conditionalFormatting sqref="A8">
    <cfRule type="duplicateValues" dxfId="9" priority="7"/>
  </conditionalFormatting>
  <conditionalFormatting sqref="A10 A7">
    <cfRule type="duplicateValues" dxfId="8" priority="8"/>
  </conditionalFormatting>
  <conditionalFormatting sqref="A11">
    <cfRule type="duplicateValues" dxfId="7" priority="5"/>
  </conditionalFormatting>
  <conditionalFormatting sqref="A13">
    <cfRule type="duplicateValues" dxfId="6" priority="4"/>
  </conditionalFormatting>
  <conditionalFormatting sqref="A14">
    <cfRule type="duplicateValues" dxfId="5" priority="6"/>
  </conditionalFormatting>
  <conditionalFormatting sqref="A16:A17 A12">
    <cfRule type="duplicateValues" dxfId="4" priority="11"/>
  </conditionalFormatting>
  <conditionalFormatting sqref="A22 A15 A9 A3:A6">
    <cfRule type="duplicateValues" dxfId="3" priority="10"/>
  </conditionalFormatting>
  <conditionalFormatting sqref="A23 A18:A20">
    <cfRule type="duplicateValues" dxfId="2" priority="9"/>
  </conditionalFormatting>
  <conditionalFormatting sqref="C3:AG23">
    <cfRule type="colorScale" priority="1">
      <colorScale>
        <cfvo type="num" val="0"/>
        <cfvo type="num" val="450"/>
        <cfvo type="num" val="450"/>
        <color rgb="FFFF8F75"/>
        <color rgb="FF92D050"/>
        <color rgb="FF63BE7B"/>
      </colorScale>
    </cfRule>
  </conditionalFormatting>
  <conditionalFormatting sqref="AL3:AL23">
    <cfRule type="cellIs" dxfId="1" priority="2" operator="lessThan">
      <formula>0</formula>
    </cfRule>
    <cfRule type="cellIs" dxfId="0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37A-D7F2-4D0F-8437-CB7B9FED6362}">
  <dimension ref="A1:DO33"/>
  <sheetViews>
    <sheetView zoomScale="64" zoomScaleNormal="64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I25" sqref="I25"/>
    </sheetView>
  </sheetViews>
  <sheetFormatPr defaultColWidth="12.36328125" defaultRowHeight="19" customHeight="1"/>
  <cols>
    <col min="1" max="1" width="6.7265625" style="160" customWidth="1"/>
    <col min="2" max="2" width="24.6328125" style="160" customWidth="1"/>
    <col min="3" max="5" width="14.08984375" style="160" hidden="1" customWidth="1"/>
    <col min="6" max="6" width="17.6328125" style="161" hidden="1" customWidth="1"/>
    <col min="7" max="7" width="2.08984375" style="160" customWidth="1"/>
    <col min="8" max="8" width="27.36328125" style="160" bestFit="1" customWidth="1"/>
    <col min="9" max="10" width="27" style="160" bestFit="1" customWidth="1"/>
    <col min="11" max="11" width="29.36328125" style="160" bestFit="1" customWidth="1"/>
    <col min="12" max="12" width="28.26953125" style="160" bestFit="1" customWidth="1"/>
    <col min="13" max="13" width="27.7265625" style="160" bestFit="1" customWidth="1"/>
    <col min="14" max="14" width="26.7265625" style="160" bestFit="1" customWidth="1"/>
    <col min="15" max="15" width="27" style="160" bestFit="1" customWidth="1"/>
    <col min="16" max="16" width="28.08984375" style="160" bestFit="1" customWidth="1"/>
    <col min="17" max="18" width="27.7265625" style="160" bestFit="1" customWidth="1"/>
    <col min="19" max="19" width="26.6328125" style="160" bestFit="1" customWidth="1"/>
    <col min="20" max="20" width="30.7265625" style="160" bestFit="1" customWidth="1"/>
    <col min="21" max="21" width="1.81640625" style="160" customWidth="1"/>
    <col min="22" max="22" width="32" style="161" customWidth="1"/>
    <col min="23" max="23" width="12.36328125" style="160"/>
    <col min="24" max="24" width="24.36328125" style="160" bestFit="1" customWidth="1"/>
    <col min="25" max="16384" width="12.36328125" style="160"/>
  </cols>
  <sheetData>
    <row r="1" spans="1:22" s="161" customFormat="1" ht="46" customHeight="1">
      <c r="A1" s="369" t="s">
        <v>85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</row>
    <row r="2" spans="1:22" s="161" customFormat="1" ht="36" customHeight="1" thickBot="1">
      <c r="A2" s="194" t="s">
        <v>115</v>
      </c>
      <c r="B2" s="193"/>
      <c r="C2" s="193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</row>
    <row r="3" spans="1:22" s="187" customFormat="1" ht="45" customHeight="1">
      <c r="A3" s="191" t="s">
        <v>3</v>
      </c>
      <c r="B3" s="189" t="s">
        <v>86</v>
      </c>
      <c r="C3" s="190">
        <v>44470</v>
      </c>
      <c r="D3" s="190">
        <v>44501</v>
      </c>
      <c r="E3" s="190">
        <v>44531</v>
      </c>
      <c r="F3" s="189" t="s">
        <v>116</v>
      </c>
      <c r="G3" s="161"/>
      <c r="H3" s="190">
        <v>44562</v>
      </c>
      <c r="I3" s="190">
        <v>44593</v>
      </c>
      <c r="J3" s="190">
        <v>44621</v>
      </c>
      <c r="K3" s="190">
        <v>44652</v>
      </c>
      <c r="L3" s="190">
        <v>44682</v>
      </c>
      <c r="M3" s="190">
        <v>44713</v>
      </c>
      <c r="N3" s="190">
        <v>44743</v>
      </c>
      <c r="O3" s="190">
        <v>44774</v>
      </c>
      <c r="P3" s="190">
        <v>44805</v>
      </c>
      <c r="Q3" s="190">
        <v>44835</v>
      </c>
      <c r="R3" s="190">
        <v>44866</v>
      </c>
      <c r="S3" s="190">
        <v>44896</v>
      </c>
      <c r="T3" s="189" t="s">
        <v>117</v>
      </c>
      <c r="V3" s="188" t="s">
        <v>118</v>
      </c>
    </row>
    <row r="4" spans="1:22" s="176" customFormat="1" ht="29.15" customHeight="1">
      <c r="A4" s="181">
        <v>1</v>
      </c>
      <c r="B4" s="186" t="s">
        <v>98</v>
      </c>
      <c r="C4" s="179"/>
      <c r="D4" s="179"/>
      <c r="E4" s="179"/>
      <c r="F4" s="180">
        <f t="shared" ref="F4:F24" si="0">SUM(C4:E4)</f>
        <v>0</v>
      </c>
      <c r="G4" s="161"/>
      <c r="H4" s="179">
        <v>641459.46</v>
      </c>
      <c r="I4" s="179">
        <v>310721.74</v>
      </c>
      <c r="J4" s="179">
        <v>624359.69999999995</v>
      </c>
      <c r="K4" s="179">
        <v>490140.4</v>
      </c>
      <c r="L4" s="179">
        <v>340218.9</v>
      </c>
      <c r="M4" s="179">
        <v>1072416.8500000001</v>
      </c>
      <c r="N4" s="179">
        <v>729890.56</v>
      </c>
      <c r="O4" s="179">
        <v>314278</v>
      </c>
      <c r="P4" s="179">
        <v>751042</v>
      </c>
      <c r="Q4" s="179">
        <v>842720</v>
      </c>
      <c r="R4" s="179">
        <v>768801.6</v>
      </c>
      <c r="S4" s="179">
        <v>262304</v>
      </c>
      <c r="T4" s="178">
        <f t="shared" ref="T4:T24" si="1">SUM(H4:S4)</f>
        <v>7148353.209999999</v>
      </c>
      <c r="U4" s="162"/>
      <c r="V4" s="177">
        <f t="shared" ref="V4:V24" si="2">T4+F4</f>
        <v>7148353.209999999</v>
      </c>
    </row>
    <row r="5" spans="1:22" s="176" customFormat="1" ht="29.15" customHeight="1">
      <c r="A5" s="181">
        <v>2</v>
      </c>
      <c r="B5" s="185" t="s">
        <v>99</v>
      </c>
      <c r="C5" s="179"/>
      <c r="D5" s="179"/>
      <c r="E5" s="179"/>
      <c r="F5" s="180">
        <f t="shared" si="0"/>
        <v>0</v>
      </c>
      <c r="G5" s="161"/>
      <c r="H5" s="179">
        <v>620807.65</v>
      </c>
      <c r="I5" s="179">
        <v>309617.53999999998</v>
      </c>
      <c r="J5" s="179">
        <v>627480.4</v>
      </c>
      <c r="K5" s="179">
        <v>492640.69999999995</v>
      </c>
      <c r="L5" s="179">
        <v>681605.2</v>
      </c>
      <c r="M5" s="179">
        <v>1082119.01</v>
      </c>
      <c r="N5" s="179">
        <v>1098343.68</v>
      </c>
      <c r="O5" s="179">
        <v>749174.4</v>
      </c>
      <c r="P5" s="179">
        <v>837500</v>
      </c>
      <c r="Q5" s="179">
        <v>387504</v>
      </c>
      <c r="R5" s="179">
        <v>462000</v>
      </c>
      <c r="S5" s="179">
        <v>549000</v>
      </c>
      <c r="T5" s="178">
        <f t="shared" si="1"/>
        <v>7897792.5800000001</v>
      </c>
      <c r="U5" s="162"/>
      <c r="V5" s="177">
        <f t="shared" si="2"/>
        <v>7897792.5800000001</v>
      </c>
    </row>
    <row r="6" spans="1:22" s="176" customFormat="1" ht="29.15" customHeight="1">
      <c r="A6" s="181">
        <v>3</v>
      </c>
      <c r="B6" s="183" t="s">
        <v>100</v>
      </c>
      <c r="C6" s="179"/>
      <c r="D6" s="179"/>
      <c r="E6" s="179"/>
      <c r="F6" s="180">
        <f t="shared" si="0"/>
        <v>0</v>
      </c>
      <c r="G6" s="161"/>
      <c r="H6" s="179">
        <v>650048.16</v>
      </c>
      <c r="I6" s="179">
        <v>309175.86000000004</v>
      </c>
      <c r="J6" s="179">
        <v>624805.5</v>
      </c>
      <c r="K6" s="179">
        <v>492096.10000000003</v>
      </c>
      <c r="L6" s="179">
        <v>338529.9</v>
      </c>
      <c r="M6" s="179">
        <v>1076801.44</v>
      </c>
      <c r="N6" s="179">
        <v>735087.36</v>
      </c>
      <c r="O6" s="179">
        <v>314574</v>
      </c>
      <c r="P6" s="179">
        <v>747840.39999999991</v>
      </c>
      <c r="Q6" s="179">
        <v>866880</v>
      </c>
      <c r="R6" s="179">
        <v>435607.2</v>
      </c>
      <c r="S6" s="179">
        <v>112000</v>
      </c>
      <c r="T6" s="178">
        <f t="shared" si="1"/>
        <v>6703445.9200000009</v>
      </c>
      <c r="U6" s="162"/>
      <c r="V6" s="177">
        <f t="shared" si="2"/>
        <v>6703445.9200000009</v>
      </c>
    </row>
    <row r="7" spans="1:22" s="176" customFormat="1" ht="29.15" customHeight="1">
      <c r="A7" s="181">
        <v>4</v>
      </c>
      <c r="B7" s="183" t="s">
        <v>101</v>
      </c>
      <c r="C7" s="179"/>
      <c r="D7" s="179"/>
      <c r="E7" s="179"/>
      <c r="F7" s="180">
        <f t="shared" si="0"/>
        <v>0</v>
      </c>
      <c r="G7" s="161"/>
      <c r="H7" s="179">
        <v>0</v>
      </c>
      <c r="I7" s="179">
        <v>645864.31000000006</v>
      </c>
      <c r="J7" s="179">
        <v>624136.80000000005</v>
      </c>
      <c r="K7" s="179">
        <v>648265.80000000005</v>
      </c>
      <c r="L7" s="179">
        <v>1028265.4</v>
      </c>
      <c r="M7" s="179">
        <v>712586.82000000007</v>
      </c>
      <c r="N7" s="179">
        <v>732229.12</v>
      </c>
      <c r="O7" s="179">
        <v>0</v>
      </c>
      <c r="P7" s="179">
        <v>0</v>
      </c>
      <c r="Q7" s="179">
        <v>0</v>
      </c>
      <c r="R7" s="179">
        <v>448936</v>
      </c>
      <c r="S7" s="179">
        <v>529480</v>
      </c>
      <c r="T7" s="178">
        <f t="shared" si="1"/>
        <v>5369764.25</v>
      </c>
      <c r="U7" s="162"/>
      <c r="V7" s="177">
        <f t="shared" si="2"/>
        <v>5369764.25</v>
      </c>
    </row>
    <row r="8" spans="1:22" s="176" customFormat="1" ht="29.15" customHeight="1">
      <c r="A8" s="181">
        <v>5</v>
      </c>
      <c r="B8" s="183" t="s">
        <v>102</v>
      </c>
      <c r="C8" s="179"/>
      <c r="D8" s="179"/>
      <c r="E8" s="179"/>
      <c r="F8" s="180">
        <f t="shared" si="0"/>
        <v>0</v>
      </c>
      <c r="G8" s="161"/>
      <c r="H8" s="179">
        <v>310890.69999999995</v>
      </c>
      <c r="I8" s="179">
        <v>309396.7</v>
      </c>
      <c r="J8" s="179">
        <v>936651</v>
      </c>
      <c r="K8" s="179">
        <v>652995.1</v>
      </c>
      <c r="L8" s="179">
        <v>1011019</v>
      </c>
      <c r="M8" s="179">
        <v>1082132.8</v>
      </c>
      <c r="N8" s="179">
        <v>1108477.4399999999</v>
      </c>
      <c r="O8" s="179">
        <v>589802.80000000005</v>
      </c>
      <c r="P8" s="179">
        <v>834860</v>
      </c>
      <c r="Q8" s="179">
        <v>821596.8</v>
      </c>
      <c r="R8" s="179">
        <v>872762.39999999991</v>
      </c>
      <c r="S8" s="179">
        <v>262304</v>
      </c>
      <c r="T8" s="178">
        <f t="shared" si="1"/>
        <v>8792888.7400000002</v>
      </c>
      <c r="U8" s="162"/>
      <c r="V8" s="177">
        <f t="shared" si="2"/>
        <v>8792888.7400000002</v>
      </c>
    </row>
    <row r="9" spans="1:22" s="176" customFormat="1" ht="29.15" customHeight="1">
      <c r="A9" s="181">
        <v>6</v>
      </c>
      <c r="B9" s="183" t="s">
        <v>103</v>
      </c>
      <c r="C9" s="179"/>
      <c r="D9" s="179"/>
      <c r="E9" s="179"/>
      <c r="F9" s="180">
        <f t="shared" si="0"/>
        <v>0</v>
      </c>
      <c r="G9" s="161"/>
      <c r="H9" s="179">
        <v>308687.30000000005</v>
      </c>
      <c r="I9" s="179">
        <v>625418.60000000009</v>
      </c>
      <c r="J9" s="179">
        <v>628372.1</v>
      </c>
      <c r="K9" s="179">
        <v>987188.60000000009</v>
      </c>
      <c r="L9" s="179">
        <v>686936.5</v>
      </c>
      <c r="M9" s="179">
        <v>358189.26</v>
      </c>
      <c r="N9" s="179">
        <v>0</v>
      </c>
      <c r="O9" s="179">
        <v>104414</v>
      </c>
      <c r="P9" s="179">
        <v>1130965.2000000002</v>
      </c>
      <c r="Q9" s="179">
        <v>821906.4</v>
      </c>
      <c r="R9" s="179">
        <v>871214.39999999991</v>
      </c>
      <c r="S9" s="179">
        <v>0</v>
      </c>
      <c r="T9" s="178">
        <f t="shared" si="1"/>
        <v>6523292.3600000013</v>
      </c>
      <c r="U9" s="162"/>
      <c r="V9" s="177">
        <f t="shared" si="2"/>
        <v>6523292.3600000013</v>
      </c>
    </row>
    <row r="10" spans="1:22" s="176" customFormat="1" ht="29.15" customHeight="1">
      <c r="A10" s="181">
        <v>7</v>
      </c>
      <c r="B10" s="183" t="s">
        <v>104</v>
      </c>
      <c r="C10" s="179"/>
      <c r="D10" s="179"/>
      <c r="E10" s="179"/>
      <c r="F10" s="180">
        <f t="shared" si="0"/>
        <v>0</v>
      </c>
      <c r="G10" s="161"/>
      <c r="H10" s="179">
        <v>198739.00000000003</v>
      </c>
      <c r="I10" s="179">
        <v>642997.96</v>
      </c>
      <c r="J10" s="179">
        <v>627034.6</v>
      </c>
      <c r="K10" s="179">
        <v>648249.69999999995</v>
      </c>
      <c r="L10" s="179">
        <v>1022481.3</v>
      </c>
      <c r="M10" s="179">
        <v>713092.38</v>
      </c>
      <c r="N10" s="179">
        <v>1093926.3999999999</v>
      </c>
      <c r="O10" s="179">
        <v>373520</v>
      </c>
      <c r="P10" s="179">
        <v>837170</v>
      </c>
      <c r="Q10" s="179">
        <v>392472</v>
      </c>
      <c r="R10" s="179">
        <v>863712</v>
      </c>
      <c r="S10" s="179">
        <v>112000</v>
      </c>
      <c r="T10" s="178">
        <f t="shared" si="1"/>
        <v>7525395.3399999999</v>
      </c>
      <c r="U10" s="162"/>
      <c r="V10" s="177">
        <f t="shared" si="2"/>
        <v>7525395.3399999999</v>
      </c>
    </row>
    <row r="11" spans="1:22" s="176" customFormat="1" ht="29.15" customHeight="1">
      <c r="A11" s="181">
        <v>8</v>
      </c>
      <c r="B11" s="183" t="s">
        <v>105</v>
      </c>
      <c r="C11" s="179"/>
      <c r="D11" s="179"/>
      <c r="E11" s="179"/>
      <c r="F11" s="180">
        <f t="shared" si="0"/>
        <v>0</v>
      </c>
      <c r="G11" s="161"/>
      <c r="H11" s="179">
        <v>0</v>
      </c>
      <c r="I11" s="179">
        <v>365987.50000000006</v>
      </c>
      <c r="J11" s="179">
        <v>292019.8</v>
      </c>
      <c r="K11" s="179">
        <v>529376.5</v>
      </c>
      <c r="L11" s="179">
        <v>693398.5</v>
      </c>
      <c r="M11" s="179">
        <v>709047.9</v>
      </c>
      <c r="N11" s="179">
        <v>1091847.6799999999</v>
      </c>
      <c r="O11" s="179">
        <v>377255.2</v>
      </c>
      <c r="P11" s="179">
        <v>842120</v>
      </c>
      <c r="Q11" s="179">
        <v>433440</v>
      </c>
      <c r="R11" s="179">
        <v>827385.6</v>
      </c>
      <c r="S11" s="179">
        <v>262304</v>
      </c>
      <c r="T11" s="178">
        <f t="shared" si="1"/>
        <v>6424182.6799999997</v>
      </c>
      <c r="U11" s="162"/>
      <c r="V11" s="177">
        <f t="shared" si="2"/>
        <v>6424182.6799999997</v>
      </c>
    </row>
    <row r="12" spans="1:22" s="176" customFormat="1" ht="29.15" customHeight="1">
      <c r="A12" s="181">
        <v>9</v>
      </c>
      <c r="B12" s="183" t="s">
        <v>106</v>
      </c>
      <c r="C12" s="179"/>
      <c r="D12" s="179"/>
      <c r="E12" s="179"/>
      <c r="F12" s="180">
        <f t="shared" si="0"/>
        <v>0</v>
      </c>
      <c r="G12" s="161"/>
      <c r="H12" s="179">
        <v>0</v>
      </c>
      <c r="I12" s="179">
        <v>641235.80000000005</v>
      </c>
      <c r="J12" s="179">
        <v>291777.40000000002</v>
      </c>
      <c r="K12" s="179">
        <v>527515.1</v>
      </c>
      <c r="L12" s="179">
        <v>681345.5</v>
      </c>
      <c r="M12" s="179">
        <v>716746.2</v>
      </c>
      <c r="N12" s="179">
        <v>1094705.9200000002</v>
      </c>
      <c r="O12" s="179">
        <v>373520</v>
      </c>
      <c r="P12" s="179">
        <v>757178.4</v>
      </c>
      <c r="Q12" s="179">
        <v>823905.6</v>
      </c>
      <c r="R12" s="179">
        <v>875548.8</v>
      </c>
      <c r="S12" s="179">
        <v>112000</v>
      </c>
      <c r="T12" s="178">
        <f t="shared" si="1"/>
        <v>6895478.7199999997</v>
      </c>
      <c r="U12" s="162"/>
      <c r="V12" s="177">
        <f t="shared" si="2"/>
        <v>6895478.7199999997</v>
      </c>
    </row>
    <row r="13" spans="1:22" s="176" customFormat="1" ht="29.15" customHeight="1">
      <c r="A13" s="181">
        <v>10</v>
      </c>
      <c r="B13" s="183" t="s">
        <v>107</v>
      </c>
      <c r="C13" s="179"/>
      <c r="D13" s="179"/>
      <c r="E13" s="179"/>
      <c r="F13" s="180">
        <f t="shared" si="0"/>
        <v>0</v>
      </c>
      <c r="G13" s="161"/>
      <c r="H13" s="179">
        <v>176234.5</v>
      </c>
      <c r="I13" s="179">
        <v>364135</v>
      </c>
      <c r="J13" s="179">
        <v>293163.7</v>
      </c>
      <c r="K13" s="179">
        <v>173728.8</v>
      </c>
      <c r="L13" s="179">
        <v>693398.5</v>
      </c>
      <c r="M13" s="179">
        <v>719614.1</v>
      </c>
      <c r="N13" s="179">
        <v>1102501.1199999999</v>
      </c>
      <c r="O13" s="179">
        <v>373786.8</v>
      </c>
      <c r="P13" s="179">
        <v>751042</v>
      </c>
      <c r="Q13" s="179">
        <v>1226088</v>
      </c>
      <c r="R13" s="179">
        <v>462000</v>
      </c>
      <c r="S13" s="179">
        <v>262304</v>
      </c>
      <c r="T13" s="178">
        <f t="shared" si="1"/>
        <v>6597996.5199999996</v>
      </c>
      <c r="U13" s="162"/>
      <c r="V13" s="177">
        <f t="shared" si="2"/>
        <v>6597996.5199999996</v>
      </c>
    </row>
    <row r="14" spans="1:22" s="176" customFormat="1" ht="29.15" customHeight="1">
      <c r="A14" s="181">
        <v>11</v>
      </c>
      <c r="B14" s="183" t="s">
        <v>108</v>
      </c>
      <c r="C14" s="179"/>
      <c r="D14" s="179"/>
      <c r="E14" s="179"/>
      <c r="F14" s="180">
        <f t="shared" si="0"/>
        <v>0</v>
      </c>
      <c r="G14" s="161"/>
      <c r="H14" s="179">
        <v>1</v>
      </c>
      <c r="I14" s="179">
        <v>617468.36</v>
      </c>
      <c r="J14" s="179">
        <v>631715.6</v>
      </c>
      <c r="K14" s="179">
        <v>987698.79999999993</v>
      </c>
      <c r="L14" s="179">
        <v>682046.4</v>
      </c>
      <c r="M14" s="179">
        <v>1071175.9300000002</v>
      </c>
      <c r="N14" s="179">
        <v>1107697.92</v>
      </c>
      <c r="O14" s="179">
        <v>478718.8</v>
      </c>
      <c r="P14" s="179">
        <v>752909.60000000009</v>
      </c>
      <c r="Q14" s="179">
        <v>776112</v>
      </c>
      <c r="R14" s="179">
        <v>771871.2</v>
      </c>
      <c r="S14" s="179">
        <v>549000</v>
      </c>
      <c r="T14" s="178">
        <f t="shared" si="1"/>
        <v>8426415.6099999994</v>
      </c>
      <c r="U14" s="162"/>
      <c r="V14" s="177">
        <f t="shared" si="2"/>
        <v>8426415.6099999994</v>
      </c>
    </row>
    <row r="15" spans="1:22" s="176" customFormat="1" ht="29.15" customHeight="1">
      <c r="A15" s="181">
        <v>12</v>
      </c>
      <c r="B15" s="183" t="s">
        <v>109</v>
      </c>
      <c r="C15" s="179"/>
      <c r="D15" s="179"/>
      <c r="E15" s="179"/>
      <c r="F15" s="180">
        <f t="shared" si="0"/>
        <v>0</v>
      </c>
      <c r="G15" s="161"/>
      <c r="H15" s="179">
        <v>639724.43000000005</v>
      </c>
      <c r="I15" s="179">
        <v>309175.86000000004</v>
      </c>
      <c r="J15" s="179">
        <v>293163.7</v>
      </c>
      <c r="K15" s="179">
        <v>535208.80000000005</v>
      </c>
      <c r="L15" s="179">
        <v>696595</v>
      </c>
      <c r="M15" s="179">
        <v>711575.7</v>
      </c>
      <c r="N15" s="179">
        <v>728071.67999999993</v>
      </c>
      <c r="O15" s="179">
        <v>587859.19999999995</v>
      </c>
      <c r="P15" s="179">
        <v>1124562</v>
      </c>
      <c r="Q15" s="179">
        <v>823670.4</v>
      </c>
      <c r="R15" s="179">
        <v>874620</v>
      </c>
      <c r="S15" s="179">
        <v>262304</v>
      </c>
      <c r="T15" s="178">
        <f t="shared" si="1"/>
        <v>7586530.7700000005</v>
      </c>
      <c r="U15" s="162"/>
      <c r="V15" s="177">
        <f t="shared" si="2"/>
        <v>7586530.7700000005</v>
      </c>
    </row>
    <row r="16" spans="1:22" s="176" customFormat="1" ht="29.15" customHeight="1">
      <c r="A16" s="181">
        <v>13</v>
      </c>
      <c r="B16" s="183" t="s">
        <v>110</v>
      </c>
      <c r="C16" s="179"/>
      <c r="D16" s="179"/>
      <c r="E16" s="179"/>
      <c r="F16" s="180">
        <f t="shared" si="0"/>
        <v>0</v>
      </c>
      <c r="G16" s="161"/>
      <c r="H16" s="179">
        <v>646736.52</v>
      </c>
      <c r="I16" s="179">
        <v>310500.89999999997</v>
      </c>
      <c r="J16" s="179">
        <v>627926.19999999995</v>
      </c>
      <c r="K16" s="179">
        <v>488249.2</v>
      </c>
      <c r="L16" s="179">
        <v>678473.1</v>
      </c>
      <c r="M16" s="179">
        <v>710311.8</v>
      </c>
      <c r="N16" s="179">
        <v>1094705.92</v>
      </c>
      <c r="O16" s="179">
        <v>955500</v>
      </c>
      <c r="P16" s="179">
        <v>832388.4</v>
      </c>
      <c r="Q16" s="179">
        <v>883690.4</v>
      </c>
      <c r="R16" s="179">
        <v>830959.2</v>
      </c>
      <c r="S16" s="179">
        <v>112000</v>
      </c>
      <c r="T16" s="178">
        <f t="shared" si="1"/>
        <v>8171441.6400000006</v>
      </c>
      <c r="U16" s="162"/>
      <c r="V16" s="177">
        <f t="shared" si="2"/>
        <v>8171441.6400000006</v>
      </c>
    </row>
    <row r="17" spans="1:119" s="176" customFormat="1" ht="29.15" customHeight="1">
      <c r="A17" s="181">
        <v>14</v>
      </c>
      <c r="B17" s="183" t="s">
        <v>111</v>
      </c>
      <c r="C17" s="179"/>
      <c r="D17" s="179"/>
      <c r="E17" s="179"/>
      <c r="F17" s="180">
        <f t="shared" si="0"/>
        <v>0</v>
      </c>
      <c r="G17" s="161"/>
      <c r="H17" s="179">
        <v>280799.08000000007</v>
      </c>
      <c r="I17" s="179">
        <v>619235.08000000007</v>
      </c>
      <c r="J17" s="179">
        <v>627926.19999999995</v>
      </c>
      <c r="K17" s="179">
        <v>989578.5</v>
      </c>
      <c r="L17" s="179">
        <v>685197</v>
      </c>
      <c r="M17" s="179">
        <v>1067489.94</v>
      </c>
      <c r="N17" s="179">
        <v>679978</v>
      </c>
      <c r="O17" s="179">
        <v>748640.8</v>
      </c>
      <c r="P17" s="179">
        <v>847835.2</v>
      </c>
      <c r="Q17" s="179">
        <v>819705.6</v>
      </c>
      <c r="R17" s="179">
        <v>871833.59999999998</v>
      </c>
      <c r="S17" s="179">
        <v>529480</v>
      </c>
      <c r="T17" s="178">
        <f t="shared" si="1"/>
        <v>8767699</v>
      </c>
      <c r="U17" s="162"/>
      <c r="V17" s="177">
        <f t="shared" si="2"/>
        <v>8767699</v>
      </c>
    </row>
    <row r="18" spans="1:119" s="176" customFormat="1" ht="29.15" customHeight="1">
      <c r="A18" s="181">
        <v>15</v>
      </c>
      <c r="B18" s="183" t="s">
        <v>112</v>
      </c>
      <c r="C18" s="179"/>
      <c r="D18" s="179"/>
      <c r="E18" s="179"/>
      <c r="F18" s="180">
        <f t="shared" si="0"/>
        <v>0</v>
      </c>
      <c r="G18" s="161"/>
      <c r="H18" s="179">
        <v>351974.99999999994</v>
      </c>
      <c r="I18" s="179">
        <v>366111</v>
      </c>
      <c r="J18" s="179">
        <v>293538.8</v>
      </c>
      <c r="K18" s="179">
        <v>355771.8</v>
      </c>
      <c r="L18" s="179">
        <v>695611.5</v>
      </c>
      <c r="M18" s="179">
        <v>713345.15999999992</v>
      </c>
      <c r="N18" s="179">
        <v>1092367.3599999999</v>
      </c>
      <c r="O18" s="179">
        <v>587343.19999999995</v>
      </c>
      <c r="P18" s="179">
        <v>747306.8</v>
      </c>
      <c r="Q18" s="179">
        <v>1163064</v>
      </c>
      <c r="R18" s="179">
        <v>767992.8</v>
      </c>
      <c r="S18" s="179">
        <v>529480</v>
      </c>
      <c r="T18" s="178">
        <f t="shared" si="1"/>
        <v>7663907.419999999</v>
      </c>
      <c r="U18" s="162"/>
      <c r="V18" s="177">
        <f t="shared" si="2"/>
        <v>7663907.419999999</v>
      </c>
    </row>
    <row r="19" spans="1:119" s="176" customFormat="1" ht="29.15" customHeight="1">
      <c r="A19" s="181">
        <v>16</v>
      </c>
      <c r="B19" s="184" t="s">
        <v>119</v>
      </c>
      <c r="C19" s="179"/>
      <c r="D19" s="179"/>
      <c r="E19" s="179"/>
      <c r="F19" s="180">
        <f t="shared" si="0"/>
        <v>0</v>
      </c>
      <c r="G19" s="161"/>
      <c r="H19" s="179">
        <v>0</v>
      </c>
      <c r="I19" s="179">
        <v>0</v>
      </c>
      <c r="J19" s="179">
        <v>175987.5</v>
      </c>
      <c r="K19" s="179">
        <v>174969.7</v>
      </c>
      <c r="L19" s="179">
        <v>0</v>
      </c>
      <c r="M19" s="179">
        <v>0</v>
      </c>
      <c r="N19" s="179">
        <v>0</v>
      </c>
      <c r="O19" s="179">
        <v>0</v>
      </c>
      <c r="P19" s="179">
        <v>0</v>
      </c>
      <c r="Q19" s="179">
        <v>0</v>
      </c>
      <c r="R19" s="179">
        <v>0</v>
      </c>
      <c r="S19" s="179">
        <v>0</v>
      </c>
      <c r="T19" s="178">
        <f t="shared" si="1"/>
        <v>350957.2</v>
      </c>
      <c r="U19" s="162"/>
      <c r="V19" s="177">
        <f t="shared" si="2"/>
        <v>350957.2</v>
      </c>
    </row>
    <row r="20" spans="1:119" s="176" customFormat="1" ht="29.15" customHeight="1">
      <c r="A20" s="181">
        <v>17</v>
      </c>
      <c r="B20" s="182" t="s">
        <v>120</v>
      </c>
      <c r="C20" s="179"/>
      <c r="D20" s="179"/>
      <c r="E20" s="179"/>
      <c r="F20" s="180">
        <f t="shared" si="0"/>
        <v>0</v>
      </c>
      <c r="G20" s="161"/>
      <c r="H20" s="179">
        <v>190000</v>
      </c>
      <c r="I20" s="179">
        <v>380000</v>
      </c>
      <c r="J20" s="179">
        <v>75000</v>
      </c>
      <c r="K20" s="179">
        <v>0</v>
      </c>
      <c r="L20" s="179">
        <v>298740</v>
      </c>
      <c r="M20" s="179">
        <v>0</v>
      </c>
      <c r="N20" s="179">
        <v>0</v>
      </c>
      <c r="O20" s="179">
        <v>0</v>
      </c>
      <c r="P20" s="179">
        <v>0</v>
      </c>
      <c r="Q20" s="179">
        <v>0</v>
      </c>
      <c r="R20" s="179">
        <v>0</v>
      </c>
      <c r="S20" s="179">
        <v>0</v>
      </c>
      <c r="T20" s="178">
        <f t="shared" si="1"/>
        <v>943740</v>
      </c>
      <c r="U20" s="162"/>
      <c r="V20" s="177">
        <f t="shared" si="2"/>
        <v>943740</v>
      </c>
    </row>
    <row r="21" spans="1:119" s="176" customFormat="1" ht="29.15" customHeight="1">
      <c r="A21" s="181">
        <v>18</v>
      </c>
      <c r="B21" s="184" t="s">
        <v>121</v>
      </c>
      <c r="C21" s="179"/>
      <c r="D21" s="179"/>
      <c r="E21" s="179"/>
      <c r="F21" s="180">
        <f t="shared" si="0"/>
        <v>0</v>
      </c>
      <c r="G21" s="161"/>
      <c r="H21" s="179">
        <v>0</v>
      </c>
      <c r="I21" s="179">
        <v>117918.26</v>
      </c>
      <c r="J21" s="179">
        <v>0</v>
      </c>
      <c r="K21" s="179">
        <v>174473.4</v>
      </c>
      <c r="L21" s="179">
        <v>0</v>
      </c>
      <c r="M21" s="179">
        <v>0</v>
      </c>
      <c r="N21" s="179">
        <v>0</v>
      </c>
      <c r="O21" s="179">
        <v>0</v>
      </c>
      <c r="P21" s="179">
        <v>0</v>
      </c>
      <c r="Q21" s="179">
        <v>0</v>
      </c>
      <c r="R21" s="179">
        <v>0</v>
      </c>
      <c r="S21" s="179">
        <v>0</v>
      </c>
      <c r="T21" s="178">
        <f t="shared" si="1"/>
        <v>292391.65999999997</v>
      </c>
      <c r="U21" s="162"/>
      <c r="V21" s="177">
        <f t="shared" si="2"/>
        <v>292391.65999999997</v>
      </c>
    </row>
    <row r="22" spans="1:119" s="176" customFormat="1" ht="29.15" customHeight="1">
      <c r="A22" s="181">
        <v>19</v>
      </c>
      <c r="B22" s="183" t="s">
        <v>122</v>
      </c>
      <c r="C22" s="179"/>
      <c r="D22" s="179"/>
      <c r="E22" s="179"/>
      <c r="F22" s="180">
        <f t="shared" si="0"/>
        <v>0</v>
      </c>
      <c r="G22" s="161"/>
      <c r="H22" s="179">
        <v>380000</v>
      </c>
      <c r="I22" s="179">
        <v>220000</v>
      </c>
      <c r="J22" s="179">
        <v>0</v>
      </c>
      <c r="K22" s="179">
        <v>343625</v>
      </c>
      <c r="L22" s="179">
        <v>264270</v>
      </c>
      <c r="M22" s="179">
        <v>0</v>
      </c>
      <c r="N22" s="179">
        <v>426240</v>
      </c>
      <c r="O22" s="179">
        <v>106116</v>
      </c>
      <c r="P22" s="179">
        <v>374854</v>
      </c>
      <c r="Q22" s="179">
        <v>0</v>
      </c>
      <c r="R22" s="179">
        <v>600000</v>
      </c>
      <c r="S22" s="179">
        <v>305000</v>
      </c>
      <c r="T22" s="178">
        <f t="shared" si="1"/>
        <v>3020105</v>
      </c>
      <c r="U22" s="162"/>
      <c r="V22" s="177">
        <f t="shared" si="2"/>
        <v>3020105</v>
      </c>
    </row>
    <row r="23" spans="1:119" s="176" customFormat="1" ht="29.15" customHeight="1">
      <c r="A23" s="181">
        <v>20</v>
      </c>
      <c r="B23" s="182" t="s">
        <v>123</v>
      </c>
      <c r="C23" s="179"/>
      <c r="D23" s="179"/>
      <c r="E23" s="179"/>
      <c r="F23" s="180">
        <f t="shared" si="0"/>
        <v>0</v>
      </c>
      <c r="G23" s="161"/>
      <c r="H23" s="179">
        <v>380000</v>
      </c>
      <c r="I23" s="179">
        <v>380000</v>
      </c>
      <c r="J23" s="179">
        <v>0</v>
      </c>
      <c r="K23" s="179">
        <v>343625</v>
      </c>
      <c r="L23" s="179">
        <v>275760</v>
      </c>
      <c r="M23" s="179">
        <v>0</v>
      </c>
      <c r="N23" s="179">
        <v>622044</v>
      </c>
      <c r="O23" s="179">
        <v>588369.80000000005</v>
      </c>
      <c r="P23" s="179">
        <v>344827.4</v>
      </c>
      <c r="Q23" s="179">
        <v>0</v>
      </c>
      <c r="R23" s="179">
        <v>780000</v>
      </c>
      <c r="S23" s="179">
        <v>305000</v>
      </c>
      <c r="T23" s="178">
        <f t="shared" si="1"/>
        <v>4019626.1999999997</v>
      </c>
      <c r="U23" s="162"/>
      <c r="V23" s="177">
        <f t="shared" si="2"/>
        <v>4019626.1999999997</v>
      </c>
    </row>
    <row r="24" spans="1:119" s="176" customFormat="1" ht="29.15" customHeight="1">
      <c r="A24" s="181">
        <v>21</v>
      </c>
      <c r="B24" s="181" t="s">
        <v>124</v>
      </c>
      <c r="C24" s="179"/>
      <c r="D24" s="179"/>
      <c r="E24" s="179"/>
      <c r="F24" s="180">
        <f t="shared" si="0"/>
        <v>0</v>
      </c>
      <c r="G24" s="161"/>
      <c r="H24" s="179"/>
      <c r="I24" s="179"/>
      <c r="J24" s="179"/>
      <c r="K24" s="179"/>
      <c r="L24" s="179"/>
      <c r="M24" s="179"/>
      <c r="N24" s="179"/>
      <c r="O24" s="179">
        <v>172413</v>
      </c>
      <c r="P24" s="179">
        <v>344827.4</v>
      </c>
      <c r="Q24" s="179">
        <v>0</v>
      </c>
      <c r="R24" s="179">
        <v>193168</v>
      </c>
      <c r="S24" s="179">
        <v>69272</v>
      </c>
      <c r="T24" s="178">
        <f t="shared" si="1"/>
        <v>779680.4</v>
      </c>
      <c r="U24" s="162"/>
      <c r="V24" s="177">
        <f t="shared" si="2"/>
        <v>779680.4</v>
      </c>
    </row>
    <row r="25" spans="1:119" s="172" customFormat="1" ht="29.15" customHeight="1">
      <c r="A25" s="370" t="s">
        <v>113</v>
      </c>
      <c r="B25" s="371"/>
      <c r="C25" s="175">
        <f>SUM(C4:C24)</f>
        <v>0</v>
      </c>
      <c r="D25" s="175">
        <f>SUM(D4:D24)</f>
        <v>0</v>
      </c>
      <c r="E25" s="175">
        <f>SUM(E4:E24)</f>
        <v>0</v>
      </c>
      <c r="F25" s="175">
        <f>SUM(F4:F24)</f>
        <v>0</v>
      </c>
      <c r="G25" s="161"/>
      <c r="H25" s="174">
        <f t="shared" ref="H25:T25" si="3">SUM(H4:H24)</f>
        <v>5776102.7999999998</v>
      </c>
      <c r="I25" s="174">
        <f t="shared" si="3"/>
        <v>7844960.4700000007</v>
      </c>
      <c r="J25" s="174">
        <f t="shared" si="3"/>
        <v>8295059.0000000009</v>
      </c>
      <c r="K25" s="174">
        <f t="shared" si="3"/>
        <v>10035397</v>
      </c>
      <c r="L25" s="174">
        <f t="shared" si="3"/>
        <v>11453891.700000001</v>
      </c>
      <c r="M25" s="174">
        <f t="shared" si="3"/>
        <v>12516645.289999999</v>
      </c>
      <c r="N25" s="174">
        <f t="shared" si="3"/>
        <v>14538114.159999998</v>
      </c>
      <c r="O25" s="174">
        <f t="shared" si="3"/>
        <v>7795286</v>
      </c>
      <c r="P25" s="174">
        <f t="shared" si="3"/>
        <v>12859228.800000001</v>
      </c>
      <c r="Q25" s="174">
        <f t="shared" si="3"/>
        <v>11082755.199999999</v>
      </c>
      <c r="R25" s="174">
        <f t="shared" si="3"/>
        <v>12578412.799999999</v>
      </c>
      <c r="S25" s="174">
        <f t="shared" si="3"/>
        <v>5125232</v>
      </c>
      <c r="T25" s="174">
        <f t="shared" si="3"/>
        <v>119901085.22000001</v>
      </c>
      <c r="U25" s="162"/>
      <c r="V25" s="173">
        <f>SUM(V4:V24)</f>
        <v>119901085.22000001</v>
      </c>
      <c r="X25" s="202"/>
    </row>
    <row r="26" spans="1:119" s="169" customFormat="1" ht="29.15" customHeight="1">
      <c r="F26" s="171"/>
      <c r="G26" s="161"/>
      <c r="U26" s="162"/>
      <c r="V26" s="17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0"/>
      <c r="BM26" s="160"/>
      <c r="BN26" s="160"/>
      <c r="BO26" s="160"/>
      <c r="BP26" s="160"/>
      <c r="BQ26" s="160"/>
      <c r="BR26" s="160"/>
      <c r="BS26" s="160"/>
      <c r="BT26" s="160"/>
      <c r="BU26" s="160"/>
      <c r="BV26" s="160"/>
      <c r="BW26" s="160"/>
      <c r="BX26" s="160"/>
      <c r="BY26" s="160"/>
      <c r="BZ26" s="160"/>
      <c r="CA26" s="160"/>
      <c r="CB26" s="160"/>
      <c r="CC26" s="160"/>
      <c r="CD26" s="160"/>
      <c r="CE26" s="160"/>
      <c r="CF26" s="160"/>
      <c r="CG26" s="160"/>
      <c r="CH26" s="160"/>
      <c r="CI26" s="160"/>
      <c r="CJ26" s="160"/>
      <c r="CK26" s="160"/>
      <c r="CL26" s="160"/>
      <c r="CM26" s="160"/>
      <c r="CN26" s="160"/>
      <c r="CO26" s="160"/>
      <c r="CP26" s="160"/>
      <c r="CQ26" s="160"/>
      <c r="CR26" s="160"/>
      <c r="CS26" s="160"/>
      <c r="CT26" s="160"/>
      <c r="CU26" s="160"/>
      <c r="CV26" s="160"/>
      <c r="CW26" s="160"/>
      <c r="CX26" s="160"/>
      <c r="CY26" s="160"/>
      <c r="CZ26" s="160"/>
      <c r="DA26" s="160"/>
      <c r="DB26" s="160"/>
      <c r="DC26" s="160"/>
      <c r="DD26" s="160"/>
      <c r="DE26" s="160"/>
      <c r="DF26" s="160"/>
      <c r="DG26" s="160"/>
      <c r="DH26" s="160"/>
      <c r="DI26" s="160"/>
      <c r="DJ26" s="160"/>
      <c r="DK26" s="160"/>
      <c r="DL26" s="160"/>
      <c r="DM26" s="160"/>
      <c r="DN26" s="160"/>
      <c r="DO26" s="160"/>
    </row>
    <row r="27" spans="1:119" s="166" customFormat="1" ht="19" customHeight="1">
      <c r="A27" s="167" t="s">
        <v>125</v>
      </c>
      <c r="B27" s="249"/>
      <c r="C27" s="250"/>
      <c r="D27" s="250"/>
      <c r="E27" s="250"/>
      <c r="F27" s="250"/>
      <c r="G27" s="250"/>
      <c r="H27" s="251">
        <v>15000000</v>
      </c>
      <c r="I27" s="251">
        <v>15000000</v>
      </c>
      <c r="J27" s="251">
        <v>15000000</v>
      </c>
      <c r="K27" s="251">
        <v>15000000</v>
      </c>
      <c r="L27" s="251">
        <v>15000000</v>
      </c>
      <c r="M27" s="251">
        <v>15000000</v>
      </c>
      <c r="N27" s="251">
        <v>15000000</v>
      </c>
      <c r="O27" s="251">
        <v>15000000</v>
      </c>
      <c r="P27" s="251">
        <v>15000000</v>
      </c>
      <c r="Q27" s="251">
        <v>15000000</v>
      </c>
      <c r="R27" s="251">
        <v>15000000</v>
      </c>
      <c r="S27" s="251">
        <v>15000000</v>
      </c>
      <c r="T27" s="251">
        <f>SUM(H27:S27)</f>
        <v>180000000</v>
      </c>
      <c r="U27" s="168"/>
      <c r="V27" s="167"/>
    </row>
    <row r="28" spans="1:119" s="163" customFormat="1" ht="19" customHeight="1" thickBot="1">
      <c r="A28" s="164" t="s">
        <v>154</v>
      </c>
      <c r="B28" s="249"/>
      <c r="C28" s="250"/>
      <c r="D28" s="250"/>
      <c r="E28" s="250"/>
      <c r="F28" s="250"/>
      <c r="G28" s="250"/>
      <c r="H28" s="252">
        <f t="shared" ref="H28:T28" si="4">H25/H27</f>
        <v>0.38507352</v>
      </c>
      <c r="I28" s="252">
        <f t="shared" si="4"/>
        <v>0.52299736466666669</v>
      </c>
      <c r="J28" s="252">
        <f t="shared" si="4"/>
        <v>0.55300393333333342</v>
      </c>
      <c r="K28" s="252">
        <f t="shared" si="4"/>
        <v>0.66902646666666665</v>
      </c>
      <c r="L28" s="252">
        <f t="shared" si="4"/>
        <v>0.76359278000000008</v>
      </c>
      <c r="M28" s="252">
        <f t="shared" si="4"/>
        <v>0.83444301933333331</v>
      </c>
      <c r="N28" s="252">
        <f t="shared" si="4"/>
        <v>0.9692076106666665</v>
      </c>
      <c r="O28" s="252">
        <f t="shared" si="4"/>
        <v>0.51968573333333334</v>
      </c>
      <c r="P28" s="252">
        <f t="shared" si="4"/>
        <v>0.85728192000000003</v>
      </c>
      <c r="Q28" s="252">
        <f t="shared" si="4"/>
        <v>0.7388503466666666</v>
      </c>
      <c r="R28" s="252">
        <f t="shared" si="4"/>
        <v>0.8385608533333333</v>
      </c>
      <c r="S28" s="252">
        <f t="shared" si="4"/>
        <v>0.34168213333333336</v>
      </c>
      <c r="T28" s="252">
        <f t="shared" si="4"/>
        <v>0.66611714011111123</v>
      </c>
      <c r="U28" s="165"/>
      <c r="V28" s="164"/>
    </row>
    <row r="29" spans="1:119" ht="19" customHeight="1" thickTop="1">
      <c r="U29" s="162"/>
    </row>
    <row r="30" spans="1:119" ht="19" customHeight="1">
      <c r="U30" s="162"/>
    </row>
    <row r="31" spans="1:119" ht="19" customHeight="1">
      <c r="U31" s="162"/>
    </row>
    <row r="32" spans="1:119" ht="19" customHeight="1">
      <c r="L32" s="204"/>
    </row>
    <row r="33" spans="12:12" ht="19" customHeight="1">
      <c r="L33" s="203"/>
    </row>
  </sheetData>
  <mergeCells count="2">
    <mergeCell ref="A1:V1"/>
    <mergeCell ref="A25:B25"/>
  </mergeCells>
  <conditionalFormatting sqref="H4:S24">
    <cfRule type="colorScale" priority="1">
      <colorScale>
        <cfvo type="min"/>
        <cfvo type="num" val="800000"/>
        <cfvo type="max"/>
        <color theme="5" tint="0.79998168889431442"/>
        <color theme="9" tint="0.79998168889431442"/>
        <color theme="9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C4AB-1302-452B-9AB5-30DCE8682521}">
  <dimension ref="A1:DM31"/>
  <sheetViews>
    <sheetView zoomScale="85" zoomScaleNormal="85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H15" sqref="H15"/>
    </sheetView>
  </sheetViews>
  <sheetFormatPr defaultColWidth="12.36328125" defaultRowHeight="18"/>
  <cols>
    <col min="1" max="1" width="6.7265625" style="156" customWidth="1"/>
    <col min="2" max="2" width="35.36328125" style="156" bestFit="1" customWidth="1"/>
    <col min="3" max="3" width="14.08984375" style="156" customWidth="1"/>
    <col min="4" max="6" width="15.36328125" style="156" bestFit="1" customWidth="1"/>
    <col min="7" max="7" width="16.7265625" style="156" bestFit="1" customWidth="1"/>
    <col min="8" max="9" width="16.26953125" style="156" bestFit="1" customWidth="1"/>
    <col min="10" max="11" width="15.36328125" style="156" bestFit="1" customWidth="1"/>
    <col min="12" max="12" width="15.36328125" style="156" customWidth="1"/>
    <col min="13" max="13" width="16.36328125" style="156" bestFit="1" customWidth="1"/>
    <col min="14" max="14" width="15.36328125" style="156" customWidth="1"/>
    <col min="15" max="15" width="15" style="156" bestFit="1" customWidth="1"/>
    <col min="16" max="16" width="17.6328125" style="156" bestFit="1" customWidth="1"/>
    <col min="17" max="17" width="18.81640625" style="156" bestFit="1" customWidth="1"/>
    <col min="18" max="18" width="17.7265625" style="156" bestFit="1" customWidth="1"/>
    <col min="19" max="19" width="1.81640625" style="156" customWidth="1"/>
    <col min="20" max="20" width="32" style="128" customWidth="1"/>
    <col min="21" max="16384" width="12.36328125" style="156"/>
  </cols>
  <sheetData>
    <row r="1" spans="1:20" s="128" customFormat="1" ht="35">
      <c r="A1" s="355" t="s">
        <v>85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</row>
    <row r="2" spans="1:20" s="128" customFormat="1" ht="35.5" thickBot="1">
      <c r="A2" s="129" t="s">
        <v>152</v>
      </c>
      <c r="B2" s="130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</row>
    <row r="3" spans="1:20" s="136" customFormat="1" ht="36">
      <c r="A3" s="132" t="s">
        <v>3</v>
      </c>
      <c r="B3" s="133" t="s">
        <v>86</v>
      </c>
      <c r="C3" s="134">
        <v>44562</v>
      </c>
      <c r="D3" s="134">
        <v>44593</v>
      </c>
      <c r="E3" s="134">
        <v>44621</v>
      </c>
      <c r="F3" s="134">
        <v>44652</v>
      </c>
      <c r="G3" s="134">
        <v>44682</v>
      </c>
      <c r="H3" s="134">
        <v>44713</v>
      </c>
      <c r="I3" s="134">
        <v>44743</v>
      </c>
      <c r="J3" s="134">
        <v>44774</v>
      </c>
      <c r="K3" s="134">
        <v>44805</v>
      </c>
      <c r="L3" s="134">
        <v>44835</v>
      </c>
      <c r="M3" s="134">
        <v>44866</v>
      </c>
      <c r="N3" s="134">
        <v>44896</v>
      </c>
      <c r="O3" s="135" t="s">
        <v>87</v>
      </c>
      <c r="P3" s="134" t="s">
        <v>88</v>
      </c>
      <c r="Q3" s="134" t="s">
        <v>89</v>
      </c>
      <c r="R3" s="133" t="s">
        <v>90</v>
      </c>
      <c r="T3" s="137" t="s">
        <v>91</v>
      </c>
    </row>
    <row r="4" spans="1:20" s="145" customFormat="1">
      <c r="A4" s="138">
        <v>1</v>
      </c>
      <c r="B4" s="139" t="s">
        <v>92</v>
      </c>
      <c r="C4" s="140">
        <v>0</v>
      </c>
      <c r="D4" s="140">
        <v>0</v>
      </c>
      <c r="E4" s="140">
        <v>0</v>
      </c>
      <c r="F4" s="140">
        <v>30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1">
        <f>AVERAGE(C4:N4)</f>
        <v>2.5</v>
      </c>
      <c r="P4" s="248">
        <f>R4/Q4</f>
        <v>2.5000000000000001E-4</v>
      </c>
      <c r="Q4" s="140">
        <v>120000</v>
      </c>
      <c r="R4" s="142">
        <f>SUM(C4:N4)</f>
        <v>30</v>
      </c>
      <c r="S4" s="143"/>
      <c r="T4" s="144">
        <f>R4</f>
        <v>30</v>
      </c>
    </row>
    <row r="5" spans="1:20" s="145" customFormat="1">
      <c r="A5" s="138">
        <v>2</v>
      </c>
      <c r="B5" s="146" t="s">
        <v>93</v>
      </c>
      <c r="C5" s="140">
        <v>3079</v>
      </c>
      <c r="D5" s="140">
        <v>3305</v>
      </c>
      <c r="E5" s="140">
        <v>2730</v>
      </c>
      <c r="F5" s="140">
        <v>152</v>
      </c>
      <c r="G5" s="140">
        <v>826</v>
      </c>
      <c r="H5" s="140">
        <v>0</v>
      </c>
      <c r="I5" s="140">
        <v>1</v>
      </c>
      <c r="J5" s="140">
        <v>649</v>
      </c>
      <c r="K5" s="140">
        <v>430</v>
      </c>
      <c r="L5" s="140">
        <v>0</v>
      </c>
      <c r="M5" s="140">
        <v>0</v>
      </c>
      <c r="N5" s="140">
        <v>0</v>
      </c>
      <c r="O5" s="141">
        <f t="shared" ref="O5:O24" si="0">AVERAGE(C5:N5)</f>
        <v>931</v>
      </c>
      <c r="P5" s="248">
        <f t="shared" ref="P5:P25" si="1">R5/Q5</f>
        <v>9.3100000000000002E-2</v>
      </c>
      <c r="Q5" s="140">
        <v>120000</v>
      </c>
      <c r="R5" s="142">
        <f t="shared" ref="R5:R24" si="2">SUM(C5:N5)</f>
        <v>11172</v>
      </c>
      <c r="S5" s="143"/>
      <c r="T5" s="144">
        <f t="shared" ref="T5:T25" si="3">R5</f>
        <v>11172</v>
      </c>
    </row>
    <row r="6" spans="1:20" s="145" customFormat="1">
      <c r="A6" s="138">
        <v>3</v>
      </c>
      <c r="B6" s="147" t="s">
        <v>94</v>
      </c>
      <c r="C6" s="140">
        <v>0</v>
      </c>
      <c r="D6" s="140">
        <v>0</v>
      </c>
      <c r="E6" s="140">
        <v>0</v>
      </c>
      <c r="F6" s="140">
        <v>30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1">
        <f t="shared" si="0"/>
        <v>2.5</v>
      </c>
      <c r="P6" s="248">
        <f t="shared" si="1"/>
        <v>2.5000000000000001E-4</v>
      </c>
      <c r="Q6" s="140">
        <v>120000</v>
      </c>
      <c r="R6" s="142">
        <f t="shared" si="2"/>
        <v>30</v>
      </c>
      <c r="S6" s="143"/>
      <c r="T6" s="144">
        <f t="shared" si="3"/>
        <v>30</v>
      </c>
    </row>
    <row r="7" spans="1:20" s="145" customFormat="1">
      <c r="A7" s="138">
        <v>4</v>
      </c>
      <c r="B7" s="148" t="s">
        <v>95</v>
      </c>
      <c r="C7" s="140">
        <v>3723</v>
      </c>
      <c r="D7" s="140">
        <v>3563</v>
      </c>
      <c r="E7" s="140">
        <v>1427</v>
      </c>
      <c r="F7" s="140">
        <v>2095</v>
      </c>
      <c r="G7" s="140">
        <v>3213</v>
      </c>
      <c r="H7" s="140">
        <v>2150</v>
      </c>
      <c r="I7" s="140">
        <v>3103</v>
      </c>
      <c r="J7" s="140">
        <v>2429</v>
      </c>
      <c r="K7" s="140">
        <v>2164</v>
      </c>
      <c r="L7" s="140">
        <v>0</v>
      </c>
      <c r="M7" s="140">
        <v>0</v>
      </c>
      <c r="N7" s="140">
        <v>1427</v>
      </c>
      <c r="O7" s="141">
        <f t="shared" si="0"/>
        <v>2107.8333333333335</v>
      </c>
      <c r="P7" s="248">
        <f t="shared" si="1"/>
        <v>0.21078333333333332</v>
      </c>
      <c r="Q7" s="140">
        <v>120000</v>
      </c>
      <c r="R7" s="142">
        <f t="shared" si="2"/>
        <v>25294</v>
      </c>
      <c r="S7" s="143"/>
      <c r="T7" s="144">
        <f t="shared" si="3"/>
        <v>25294</v>
      </c>
    </row>
    <row r="8" spans="1:20" s="145" customFormat="1">
      <c r="A8" s="138">
        <v>5</v>
      </c>
      <c r="B8" s="148" t="s">
        <v>96</v>
      </c>
      <c r="C8" s="140">
        <v>3294</v>
      </c>
      <c r="D8" s="140">
        <v>5147</v>
      </c>
      <c r="E8" s="140">
        <v>1214</v>
      </c>
      <c r="F8" s="140">
        <v>3242</v>
      </c>
      <c r="G8" s="140">
        <v>1197</v>
      </c>
      <c r="H8" s="140">
        <v>497</v>
      </c>
      <c r="I8" s="140">
        <v>5633</v>
      </c>
      <c r="J8" s="140">
        <v>5136</v>
      </c>
      <c r="K8" s="140">
        <v>6740</v>
      </c>
      <c r="L8" s="140">
        <v>0</v>
      </c>
      <c r="M8" s="140">
        <v>0</v>
      </c>
      <c r="N8" s="140">
        <v>1214</v>
      </c>
      <c r="O8" s="141">
        <f t="shared" si="0"/>
        <v>2776.1666666666665</v>
      </c>
      <c r="P8" s="248">
        <f t="shared" si="1"/>
        <v>0.27761666666666668</v>
      </c>
      <c r="Q8" s="140">
        <v>120000</v>
      </c>
      <c r="R8" s="142">
        <f t="shared" si="2"/>
        <v>33314</v>
      </c>
      <c r="S8" s="143"/>
      <c r="T8" s="144">
        <f t="shared" si="3"/>
        <v>33314</v>
      </c>
    </row>
    <row r="9" spans="1:20" s="145" customFormat="1">
      <c r="A9" s="138">
        <v>6</v>
      </c>
      <c r="B9" s="146" t="s">
        <v>97</v>
      </c>
      <c r="C9" s="140">
        <v>0</v>
      </c>
      <c r="D9" s="140">
        <v>0</v>
      </c>
      <c r="E9" s="140">
        <v>0</v>
      </c>
      <c r="F9" s="140">
        <v>30</v>
      </c>
      <c r="G9" s="140">
        <v>0</v>
      </c>
      <c r="H9" s="140">
        <v>0</v>
      </c>
      <c r="I9" s="140">
        <v>0</v>
      </c>
      <c r="J9" s="140">
        <v>0</v>
      </c>
      <c r="K9" s="140">
        <v>4223</v>
      </c>
      <c r="L9" s="140">
        <v>2018</v>
      </c>
      <c r="M9" s="140">
        <v>4657</v>
      </c>
      <c r="N9" s="140">
        <v>3022</v>
      </c>
      <c r="O9" s="141">
        <f t="shared" si="0"/>
        <v>1162.5</v>
      </c>
      <c r="P9" s="248">
        <f t="shared" si="1"/>
        <v>0.11625000000000001</v>
      </c>
      <c r="Q9" s="140">
        <v>120000</v>
      </c>
      <c r="R9" s="142">
        <f t="shared" si="2"/>
        <v>13950</v>
      </c>
      <c r="S9" s="143"/>
      <c r="T9" s="144">
        <f t="shared" si="3"/>
        <v>13950</v>
      </c>
    </row>
    <row r="10" spans="1:20" s="145" customFormat="1">
      <c r="A10" s="138">
        <v>7</v>
      </c>
      <c r="B10" s="148" t="s">
        <v>98</v>
      </c>
      <c r="C10" s="140">
        <v>4591</v>
      </c>
      <c r="D10" s="140">
        <v>4469</v>
      </c>
      <c r="E10" s="140">
        <v>5008</v>
      </c>
      <c r="F10" s="140">
        <v>6182</v>
      </c>
      <c r="G10" s="140">
        <v>5193</v>
      </c>
      <c r="H10" s="140">
        <v>6151</v>
      </c>
      <c r="I10" s="140">
        <v>6354</v>
      </c>
      <c r="J10" s="140">
        <v>3814</v>
      </c>
      <c r="K10" s="140">
        <v>4479</v>
      </c>
      <c r="L10" s="140">
        <v>6629</v>
      </c>
      <c r="M10" s="140">
        <v>5432</v>
      </c>
      <c r="N10" s="140">
        <v>3976</v>
      </c>
      <c r="O10" s="141">
        <f t="shared" si="0"/>
        <v>5189.833333333333</v>
      </c>
      <c r="P10" s="248">
        <f t="shared" si="1"/>
        <v>0.51898333333333335</v>
      </c>
      <c r="Q10" s="140">
        <v>120000</v>
      </c>
      <c r="R10" s="142">
        <f t="shared" si="2"/>
        <v>62278</v>
      </c>
      <c r="S10" s="143"/>
      <c r="T10" s="144">
        <f t="shared" si="3"/>
        <v>62278</v>
      </c>
    </row>
    <row r="11" spans="1:20" s="145" customFormat="1">
      <c r="A11" s="138">
        <v>8</v>
      </c>
      <c r="B11" s="148" t="s">
        <v>99</v>
      </c>
      <c r="C11" s="140">
        <v>4580</v>
      </c>
      <c r="D11" s="140">
        <v>4465</v>
      </c>
      <c r="E11" s="140">
        <v>5014</v>
      </c>
      <c r="F11" s="140">
        <v>5729</v>
      </c>
      <c r="G11" s="140">
        <v>6570</v>
      </c>
      <c r="H11" s="140">
        <v>8209</v>
      </c>
      <c r="I11" s="140">
        <v>8170</v>
      </c>
      <c r="J11" s="140">
        <v>5893</v>
      </c>
      <c r="K11" s="140">
        <v>6333</v>
      </c>
      <c r="L11" s="140">
        <v>4316</v>
      </c>
      <c r="M11" s="140">
        <v>6445</v>
      </c>
      <c r="N11" s="140">
        <v>3298</v>
      </c>
      <c r="O11" s="141">
        <f t="shared" si="0"/>
        <v>5751.833333333333</v>
      </c>
      <c r="P11" s="248">
        <f t="shared" si="1"/>
        <v>0.57518333333333338</v>
      </c>
      <c r="Q11" s="140">
        <v>120000</v>
      </c>
      <c r="R11" s="142">
        <f t="shared" si="2"/>
        <v>69022</v>
      </c>
      <c r="S11" s="143"/>
      <c r="T11" s="144">
        <f t="shared" si="3"/>
        <v>69022</v>
      </c>
    </row>
    <row r="12" spans="1:20" s="145" customFormat="1">
      <c r="A12" s="138">
        <v>9</v>
      </c>
      <c r="B12" s="148" t="s">
        <v>100</v>
      </c>
      <c r="C12" s="140">
        <v>4571</v>
      </c>
      <c r="D12" s="140">
        <v>4460</v>
      </c>
      <c r="E12" s="140">
        <v>4980</v>
      </c>
      <c r="F12" s="140">
        <v>5717</v>
      </c>
      <c r="G12" s="140">
        <v>5635</v>
      </c>
      <c r="H12" s="140">
        <v>5957</v>
      </c>
      <c r="I12" s="140">
        <v>6524</v>
      </c>
      <c r="J12" s="140">
        <v>3791</v>
      </c>
      <c r="K12" s="140">
        <v>5973</v>
      </c>
      <c r="L12" s="140">
        <v>3524</v>
      </c>
      <c r="M12" s="140">
        <v>5957</v>
      </c>
      <c r="N12" s="140">
        <v>4571</v>
      </c>
      <c r="O12" s="141">
        <f t="shared" si="0"/>
        <v>5138.333333333333</v>
      </c>
      <c r="P12" s="248">
        <f t="shared" si="1"/>
        <v>0.51383333333333336</v>
      </c>
      <c r="Q12" s="140">
        <v>120000</v>
      </c>
      <c r="R12" s="142">
        <f t="shared" si="2"/>
        <v>61660</v>
      </c>
      <c r="S12" s="143"/>
      <c r="T12" s="144">
        <f t="shared" si="3"/>
        <v>61660</v>
      </c>
    </row>
    <row r="13" spans="1:20" s="145" customFormat="1">
      <c r="A13" s="138">
        <v>10</v>
      </c>
      <c r="B13" s="149" t="s">
        <v>101</v>
      </c>
      <c r="C13" s="140">
        <v>3065</v>
      </c>
      <c r="D13" s="140">
        <v>5085</v>
      </c>
      <c r="E13" s="140">
        <v>5948</v>
      </c>
      <c r="F13" s="140">
        <v>6465</v>
      </c>
      <c r="G13" s="140">
        <v>8369</v>
      </c>
      <c r="H13" s="140">
        <v>6263</v>
      </c>
      <c r="I13" s="140">
        <v>5370</v>
      </c>
      <c r="J13" s="140">
        <v>231</v>
      </c>
      <c r="K13" s="140">
        <v>0</v>
      </c>
      <c r="L13" s="140">
        <v>30</v>
      </c>
      <c r="M13" s="140">
        <v>4338</v>
      </c>
      <c r="N13" s="140">
        <v>3065</v>
      </c>
      <c r="O13" s="141">
        <f t="shared" si="0"/>
        <v>4019.0833333333335</v>
      </c>
      <c r="P13" s="248">
        <f t="shared" si="1"/>
        <v>0.40190833333333331</v>
      </c>
      <c r="Q13" s="140">
        <v>120000</v>
      </c>
      <c r="R13" s="142">
        <f t="shared" si="2"/>
        <v>48229</v>
      </c>
      <c r="S13" s="143"/>
      <c r="T13" s="144">
        <f t="shared" si="3"/>
        <v>48229</v>
      </c>
    </row>
    <row r="14" spans="1:20" s="145" customFormat="1">
      <c r="A14" s="138">
        <v>11</v>
      </c>
      <c r="B14" s="146" t="s">
        <v>102</v>
      </c>
      <c r="C14" s="140">
        <v>3774</v>
      </c>
      <c r="D14" s="140">
        <v>4448</v>
      </c>
      <c r="E14" s="140">
        <v>8097</v>
      </c>
      <c r="F14" s="140">
        <v>7220</v>
      </c>
      <c r="G14" s="140">
        <v>9573</v>
      </c>
      <c r="H14" s="140">
        <v>8130</v>
      </c>
      <c r="I14" s="140">
        <v>8603</v>
      </c>
      <c r="J14" s="140">
        <v>4638</v>
      </c>
      <c r="K14" s="140">
        <v>5690</v>
      </c>
      <c r="L14" s="140">
        <v>7836</v>
      </c>
      <c r="M14" s="140">
        <v>5729</v>
      </c>
      <c r="N14" s="140">
        <v>3774</v>
      </c>
      <c r="O14" s="141">
        <f t="shared" si="0"/>
        <v>6459.333333333333</v>
      </c>
      <c r="P14" s="248">
        <f t="shared" si="1"/>
        <v>0.64593333333333336</v>
      </c>
      <c r="Q14" s="140">
        <v>120000</v>
      </c>
      <c r="R14" s="142">
        <f t="shared" si="2"/>
        <v>77512</v>
      </c>
      <c r="S14" s="143"/>
      <c r="T14" s="144">
        <f t="shared" si="3"/>
        <v>77512</v>
      </c>
    </row>
    <row r="15" spans="1:20" s="145" customFormat="1">
      <c r="A15" s="138">
        <v>12</v>
      </c>
      <c r="B15" s="148" t="s">
        <v>103</v>
      </c>
      <c r="C15" s="140">
        <v>3063</v>
      </c>
      <c r="D15" s="140">
        <v>5968</v>
      </c>
      <c r="E15" s="140">
        <v>8163</v>
      </c>
      <c r="F15" s="140">
        <v>7289</v>
      </c>
      <c r="G15" s="140">
        <v>7300</v>
      </c>
      <c r="H15" s="140">
        <v>2974</v>
      </c>
      <c r="I15" s="140">
        <v>0</v>
      </c>
      <c r="J15" s="140">
        <v>1463</v>
      </c>
      <c r="K15" s="140">
        <v>6744</v>
      </c>
      <c r="L15" s="140">
        <v>6992</v>
      </c>
      <c r="M15" s="140">
        <v>2974</v>
      </c>
      <c r="N15" s="140">
        <v>3063</v>
      </c>
      <c r="O15" s="141">
        <f t="shared" si="0"/>
        <v>4666.083333333333</v>
      </c>
      <c r="P15" s="248">
        <f t="shared" si="1"/>
        <v>0.46660833333333335</v>
      </c>
      <c r="Q15" s="140">
        <v>120000</v>
      </c>
      <c r="R15" s="142">
        <f t="shared" si="2"/>
        <v>55993</v>
      </c>
      <c r="S15" s="143"/>
      <c r="T15" s="144">
        <f t="shared" si="3"/>
        <v>55993</v>
      </c>
    </row>
    <row r="16" spans="1:20" s="145" customFormat="1">
      <c r="A16" s="138">
        <v>13</v>
      </c>
      <c r="B16" s="148" t="s">
        <v>104</v>
      </c>
      <c r="C16" s="140">
        <v>3440</v>
      </c>
      <c r="D16" s="140">
        <v>3614</v>
      </c>
      <c r="E16" s="140">
        <v>1324</v>
      </c>
      <c r="F16" s="140">
        <v>5261</v>
      </c>
      <c r="G16" s="140">
        <v>7903</v>
      </c>
      <c r="H16" s="140">
        <v>7002</v>
      </c>
      <c r="I16" s="140">
        <v>8481</v>
      </c>
      <c r="J16" s="140">
        <v>1907</v>
      </c>
      <c r="K16" s="140">
        <v>4931</v>
      </c>
      <c r="L16" s="140">
        <v>5535</v>
      </c>
      <c r="M16" s="140">
        <v>6114</v>
      </c>
      <c r="N16" s="140">
        <v>3440</v>
      </c>
      <c r="O16" s="141">
        <f t="shared" si="0"/>
        <v>4912.666666666667</v>
      </c>
      <c r="P16" s="248">
        <f t="shared" si="1"/>
        <v>0.49126666666666668</v>
      </c>
      <c r="Q16" s="140">
        <v>120000</v>
      </c>
      <c r="R16" s="142">
        <f t="shared" si="2"/>
        <v>58952</v>
      </c>
      <c r="S16" s="143"/>
      <c r="T16" s="144">
        <f t="shared" si="3"/>
        <v>58952</v>
      </c>
    </row>
    <row r="17" spans="1:117" s="145" customFormat="1">
      <c r="A17" s="138">
        <v>14</v>
      </c>
      <c r="B17" s="148" t="s">
        <v>105</v>
      </c>
      <c r="C17" s="140">
        <v>1797</v>
      </c>
      <c r="D17" s="140">
        <v>3710</v>
      </c>
      <c r="E17" s="140">
        <v>3673</v>
      </c>
      <c r="F17" s="140">
        <v>5271</v>
      </c>
      <c r="G17" s="140">
        <v>6516</v>
      </c>
      <c r="H17" s="140">
        <v>7490</v>
      </c>
      <c r="I17" s="140">
        <v>6988</v>
      </c>
      <c r="J17" s="140">
        <v>2649</v>
      </c>
      <c r="K17" s="140">
        <v>5232</v>
      </c>
      <c r="L17" s="140">
        <v>1385</v>
      </c>
      <c r="M17" s="140">
        <v>7490</v>
      </c>
      <c r="N17" s="140">
        <v>1797</v>
      </c>
      <c r="O17" s="141">
        <f t="shared" si="0"/>
        <v>4499.833333333333</v>
      </c>
      <c r="P17" s="248">
        <f t="shared" si="1"/>
        <v>0.44998333333333335</v>
      </c>
      <c r="Q17" s="140">
        <v>120000</v>
      </c>
      <c r="R17" s="142">
        <f t="shared" si="2"/>
        <v>53998</v>
      </c>
      <c r="S17" s="143"/>
      <c r="T17" s="144">
        <f t="shared" si="3"/>
        <v>53998</v>
      </c>
    </row>
    <row r="18" spans="1:117" s="145" customFormat="1">
      <c r="A18" s="138">
        <v>15</v>
      </c>
      <c r="B18" s="148" t="s">
        <v>106</v>
      </c>
      <c r="C18" s="140">
        <v>1683</v>
      </c>
      <c r="D18" s="140">
        <v>5844</v>
      </c>
      <c r="E18" s="140">
        <v>3246</v>
      </c>
      <c r="F18" s="140">
        <v>4714</v>
      </c>
      <c r="G18" s="140">
        <v>7044</v>
      </c>
      <c r="H18" s="140">
        <v>3205</v>
      </c>
      <c r="I18" s="140">
        <v>7882</v>
      </c>
      <c r="J18" s="140">
        <v>4648</v>
      </c>
      <c r="K18" s="140">
        <v>4174</v>
      </c>
      <c r="L18" s="140">
        <v>7569</v>
      </c>
      <c r="M18" s="140">
        <v>7112</v>
      </c>
      <c r="N18" s="140">
        <v>1683</v>
      </c>
      <c r="O18" s="141">
        <f t="shared" si="0"/>
        <v>4900.333333333333</v>
      </c>
      <c r="P18" s="248">
        <f t="shared" si="1"/>
        <v>0.49003333333333332</v>
      </c>
      <c r="Q18" s="140">
        <v>120000</v>
      </c>
      <c r="R18" s="142">
        <f t="shared" si="2"/>
        <v>58804</v>
      </c>
      <c r="S18" s="143"/>
      <c r="T18" s="144">
        <f t="shared" si="3"/>
        <v>58804</v>
      </c>
    </row>
    <row r="19" spans="1:117" s="145" customFormat="1">
      <c r="A19" s="138">
        <v>16</v>
      </c>
      <c r="B19" s="148" t="s">
        <v>107</v>
      </c>
      <c r="C19" s="140">
        <v>2944</v>
      </c>
      <c r="D19" s="140">
        <v>4546</v>
      </c>
      <c r="E19" s="140">
        <v>3529</v>
      </c>
      <c r="F19" s="140">
        <v>2734</v>
      </c>
      <c r="G19" s="140">
        <v>5121</v>
      </c>
      <c r="H19" s="140">
        <v>7063</v>
      </c>
      <c r="I19" s="140">
        <v>8033</v>
      </c>
      <c r="J19" s="140">
        <v>4003</v>
      </c>
      <c r="K19" s="140">
        <v>5235</v>
      </c>
      <c r="L19" s="140">
        <v>7809</v>
      </c>
      <c r="M19" s="140">
        <v>6997</v>
      </c>
      <c r="N19" s="140">
        <v>2944</v>
      </c>
      <c r="O19" s="141">
        <f t="shared" si="0"/>
        <v>5079.833333333333</v>
      </c>
      <c r="P19" s="248">
        <f t="shared" si="1"/>
        <v>0.50798333333333334</v>
      </c>
      <c r="Q19" s="140">
        <v>120000</v>
      </c>
      <c r="R19" s="142">
        <f t="shared" si="2"/>
        <v>60958</v>
      </c>
      <c r="S19" s="143"/>
      <c r="T19" s="144">
        <f t="shared" si="3"/>
        <v>60958</v>
      </c>
    </row>
    <row r="20" spans="1:117" s="145" customFormat="1">
      <c r="A20" s="138">
        <v>17</v>
      </c>
      <c r="B20" s="148" t="s">
        <v>108</v>
      </c>
      <c r="C20" s="140">
        <v>3537</v>
      </c>
      <c r="D20" s="140">
        <v>5970</v>
      </c>
      <c r="E20" s="140">
        <v>8161</v>
      </c>
      <c r="F20" s="140">
        <v>7153</v>
      </c>
      <c r="G20" s="140">
        <v>8105</v>
      </c>
      <c r="H20" s="140">
        <v>8150</v>
      </c>
      <c r="I20" s="140">
        <v>8669</v>
      </c>
      <c r="J20" s="140">
        <v>4259</v>
      </c>
      <c r="K20" s="140">
        <v>6567</v>
      </c>
      <c r="L20" s="140">
        <v>5891</v>
      </c>
      <c r="M20" s="140">
        <v>6334</v>
      </c>
      <c r="N20" s="140">
        <v>5970</v>
      </c>
      <c r="O20" s="141">
        <f t="shared" si="0"/>
        <v>6563.833333333333</v>
      </c>
      <c r="P20" s="248">
        <f t="shared" si="1"/>
        <v>0.65638333333333332</v>
      </c>
      <c r="Q20" s="140">
        <v>120000</v>
      </c>
      <c r="R20" s="142">
        <f t="shared" si="2"/>
        <v>78766</v>
      </c>
      <c r="S20" s="143"/>
      <c r="T20" s="144">
        <f t="shared" si="3"/>
        <v>78766</v>
      </c>
    </row>
    <row r="21" spans="1:117" s="145" customFormat="1">
      <c r="A21" s="138">
        <v>18</v>
      </c>
      <c r="B21" s="148" t="s">
        <v>109</v>
      </c>
      <c r="C21" s="140">
        <v>2899</v>
      </c>
      <c r="D21" s="140">
        <v>4583</v>
      </c>
      <c r="E21" s="140">
        <v>2866</v>
      </c>
      <c r="F21" s="140">
        <v>4498</v>
      </c>
      <c r="G21" s="140">
        <v>6349</v>
      </c>
      <c r="H21" s="140">
        <v>7004</v>
      </c>
      <c r="I21" s="140">
        <v>5716</v>
      </c>
      <c r="J21" s="140">
        <v>5017</v>
      </c>
      <c r="K21" s="140">
        <v>7160</v>
      </c>
      <c r="L21" s="140">
        <v>6420</v>
      </c>
      <c r="M21" s="140">
        <v>6889</v>
      </c>
      <c r="N21" s="140">
        <v>4583</v>
      </c>
      <c r="O21" s="141">
        <f t="shared" si="0"/>
        <v>5332</v>
      </c>
      <c r="P21" s="248">
        <f t="shared" si="1"/>
        <v>0.53320000000000001</v>
      </c>
      <c r="Q21" s="140">
        <v>120000</v>
      </c>
      <c r="R21" s="142">
        <f t="shared" si="2"/>
        <v>63984</v>
      </c>
      <c r="S21" s="143"/>
      <c r="T21" s="144">
        <f t="shared" si="3"/>
        <v>63984</v>
      </c>
    </row>
    <row r="22" spans="1:117" s="145" customFormat="1">
      <c r="A22" s="138">
        <v>19</v>
      </c>
      <c r="B22" s="147" t="s">
        <v>110</v>
      </c>
      <c r="C22" s="140">
        <v>4686</v>
      </c>
      <c r="D22" s="140">
        <v>4396</v>
      </c>
      <c r="E22" s="140">
        <v>5009</v>
      </c>
      <c r="F22" s="140">
        <v>6190</v>
      </c>
      <c r="G22" s="140">
        <v>5843</v>
      </c>
      <c r="H22" s="140">
        <v>7872</v>
      </c>
      <c r="I22" s="140">
        <v>6802</v>
      </c>
      <c r="J22" s="140">
        <v>6630</v>
      </c>
      <c r="K22" s="140">
        <v>6452</v>
      </c>
      <c r="L22" s="140">
        <v>7196</v>
      </c>
      <c r="M22" s="140">
        <v>6290</v>
      </c>
      <c r="N22" s="140">
        <v>4396</v>
      </c>
      <c r="O22" s="141">
        <f t="shared" si="0"/>
        <v>5980.166666666667</v>
      </c>
      <c r="P22" s="248">
        <f t="shared" si="1"/>
        <v>0.59801666666666664</v>
      </c>
      <c r="Q22" s="140">
        <v>120000</v>
      </c>
      <c r="R22" s="142">
        <f t="shared" si="2"/>
        <v>71762</v>
      </c>
      <c r="S22" s="143"/>
      <c r="T22" s="144">
        <f t="shared" si="3"/>
        <v>71762</v>
      </c>
    </row>
    <row r="23" spans="1:117" s="145" customFormat="1">
      <c r="A23" s="138">
        <v>20</v>
      </c>
      <c r="B23" s="148" t="s">
        <v>111</v>
      </c>
      <c r="C23" s="140">
        <v>3377</v>
      </c>
      <c r="D23" s="140">
        <v>5974</v>
      </c>
      <c r="E23" s="140">
        <v>8110</v>
      </c>
      <c r="F23" s="140">
        <v>6466</v>
      </c>
      <c r="G23" s="140">
        <v>6969</v>
      </c>
      <c r="H23" s="140">
        <v>8355</v>
      </c>
      <c r="I23" s="140">
        <v>6104</v>
      </c>
      <c r="J23" s="140">
        <v>5535</v>
      </c>
      <c r="K23" s="140">
        <v>6567</v>
      </c>
      <c r="L23" s="140">
        <v>6691</v>
      </c>
      <c r="M23" s="140">
        <v>6104</v>
      </c>
      <c r="N23" s="140">
        <v>5974</v>
      </c>
      <c r="O23" s="141">
        <f t="shared" si="0"/>
        <v>6352.166666666667</v>
      </c>
      <c r="P23" s="248">
        <f t="shared" si="1"/>
        <v>0.63521666666666665</v>
      </c>
      <c r="Q23" s="140">
        <v>120000</v>
      </c>
      <c r="R23" s="142">
        <f t="shared" si="2"/>
        <v>76226</v>
      </c>
      <c r="S23" s="143"/>
      <c r="T23" s="144">
        <f t="shared" si="3"/>
        <v>76226</v>
      </c>
    </row>
    <row r="24" spans="1:117" s="145" customFormat="1">
      <c r="A24" s="138">
        <v>21</v>
      </c>
      <c r="B24" s="139" t="s">
        <v>112</v>
      </c>
      <c r="C24" s="140">
        <v>3514</v>
      </c>
      <c r="D24" s="140">
        <v>4370</v>
      </c>
      <c r="E24" s="140">
        <v>3466</v>
      </c>
      <c r="F24" s="140">
        <v>4069</v>
      </c>
      <c r="G24" s="140">
        <v>6008</v>
      </c>
      <c r="H24" s="140">
        <v>6446</v>
      </c>
      <c r="I24" s="140">
        <v>7228</v>
      </c>
      <c r="J24" s="140">
        <v>4546</v>
      </c>
      <c r="K24" s="140">
        <v>4539</v>
      </c>
      <c r="L24" s="140">
        <v>4370</v>
      </c>
      <c r="M24" s="140">
        <v>6446</v>
      </c>
      <c r="N24" s="140">
        <v>4370</v>
      </c>
      <c r="O24" s="141">
        <f t="shared" si="0"/>
        <v>4947.666666666667</v>
      </c>
      <c r="P24" s="248">
        <f t="shared" si="1"/>
        <v>0.49476666666666669</v>
      </c>
      <c r="Q24" s="140">
        <v>120000</v>
      </c>
      <c r="R24" s="142">
        <f t="shared" si="2"/>
        <v>59372</v>
      </c>
      <c r="S24" s="143"/>
      <c r="T24" s="144">
        <f t="shared" si="3"/>
        <v>59372</v>
      </c>
    </row>
    <row r="25" spans="1:117" s="152" customFormat="1">
      <c r="A25" s="356" t="s">
        <v>113</v>
      </c>
      <c r="B25" s="357"/>
      <c r="C25" s="150">
        <f t="shared" ref="C25:O25" si="4">SUM(C4:C24)</f>
        <v>61617</v>
      </c>
      <c r="D25" s="150">
        <f t="shared" si="4"/>
        <v>83917</v>
      </c>
      <c r="E25" s="150">
        <f t="shared" si="4"/>
        <v>81965</v>
      </c>
      <c r="F25" s="150">
        <f t="shared" si="4"/>
        <v>90537</v>
      </c>
      <c r="G25" s="150">
        <f t="shared" si="4"/>
        <v>107734</v>
      </c>
      <c r="H25" s="150">
        <f>SUM(H4:H24)</f>
        <v>102918</v>
      </c>
      <c r="I25" s="150">
        <f t="shared" si="4"/>
        <v>109661</v>
      </c>
      <c r="J25" s="150">
        <f t="shared" si="4"/>
        <v>67238</v>
      </c>
      <c r="K25" s="150">
        <f>SUM(K4:K24)</f>
        <v>93633</v>
      </c>
      <c r="L25" s="150">
        <f>SUM(L4:L24)</f>
        <v>84211</v>
      </c>
      <c r="M25" s="150">
        <f>SUM(M4:M24)</f>
        <v>95308</v>
      </c>
      <c r="N25" s="150">
        <f>SUM(N4:N24)</f>
        <v>62567</v>
      </c>
      <c r="O25" s="150">
        <f t="shared" si="4"/>
        <v>86775.500000000015</v>
      </c>
      <c r="P25" s="151">
        <f t="shared" si="1"/>
        <v>0.41321666666666668</v>
      </c>
      <c r="Q25" s="150">
        <f>SUM(Q4:Q24)</f>
        <v>2520000</v>
      </c>
      <c r="R25" s="150">
        <f>SUM(R4:R24)</f>
        <v>1041306</v>
      </c>
      <c r="S25" s="143"/>
      <c r="T25" s="144">
        <f t="shared" si="3"/>
        <v>1041306</v>
      </c>
    </row>
    <row r="26" spans="1:117" s="153" customFormat="1" ht="18.5" thickBot="1">
      <c r="S26" s="154"/>
      <c r="T26" s="155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6"/>
      <c r="CY26" s="156"/>
      <c r="CZ26" s="156"/>
      <c r="DA26" s="156"/>
      <c r="DB26" s="156"/>
      <c r="DC26" s="156"/>
      <c r="DD26" s="156"/>
      <c r="DE26" s="156"/>
      <c r="DF26" s="156"/>
      <c r="DG26" s="156"/>
      <c r="DH26" s="156"/>
      <c r="DI26" s="156"/>
      <c r="DJ26" s="156"/>
      <c r="DK26" s="156"/>
      <c r="DL26" s="156"/>
      <c r="DM26" s="156"/>
    </row>
    <row r="27" spans="1:117">
      <c r="C27" s="128" t="s">
        <v>153</v>
      </c>
      <c r="S27" s="154"/>
    </row>
    <row r="28" spans="1:117">
      <c r="S28" s="154"/>
    </row>
    <row r="29" spans="1:117">
      <c r="S29" s="154"/>
    </row>
    <row r="30" spans="1:117">
      <c r="S30" s="154"/>
    </row>
    <row r="31" spans="1:117">
      <c r="S31" s="154"/>
    </row>
  </sheetData>
  <mergeCells count="2">
    <mergeCell ref="A25:B25"/>
    <mergeCell ref="A1:T1"/>
  </mergeCells>
  <conditionalFormatting sqref="C4:P24">
    <cfRule type="colorScale" priority="1">
      <colorScale>
        <cfvo type="min"/>
        <cfvo type="percentile" val="70"/>
        <cfvo type="max"/>
        <color theme="5" tint="0.79998168889431442"/>
        <color theme="9" tint="0.79998168889431442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12C8-FB2C-4FA9-B93D-768966F47A12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FB81-E29F-4F05-BB8E-5D77C398E0F7}">
  <dimension ref="B1:R21"/>
  <sheetViews>
    <sheetView zoomScaleNormal="100" workbookViewId="0">
      <selection activeCell="V14" sqref="V14"/>
    </sheetView>
  </sheetViews>
  <sheetFormatPr defaultRowHeight="14.5"/>
  <cols>
    <col min="2" max="2" width="12.6328125" bestFit="1" customWidth="1"/>
    <col min="3" max="3" width="3" hidden="1" customWidth="1"/>
    <col min="4" max="6" width="2" hidden="1" customWidth="1"/>
    <col min="7" max="10" width="0" hidden="1" customWidth="1"/>
    <col min="11" max="11" width="12" bestFit="1" customWidth="1"/>
    <col min="12" max="12" width="15" bestFit="1" customWidth="1"/>
    <col min="14" max="14" width="4" bestFit="1" customWidth="1"/>
    <col min="15" max="15" width="14.36328125" bestFit="1" customWidth="1"/>
    <col min="16" max="16" width="16" bestFit="1" customWidth="1"/>
    <col min="17" max="17" width="20.36328125" bestFit="1" customWidth="1"/>
    <col min="18" max="18" width="17" bestFit="1" customWidth="1"/>
  </cols>
  <sheetData>
    <row r="1" spans="2:18" ht="15" thickBot="1"/>
    <row r="2" spans="2:18" ht="15" thickBot="1">
      <c r="B2" s="213" t="s">
        <v>132</v>
      </c>
      <c r="C2" s="214"/>
      <c r="D2" s="214"/>
      <c r="E2" s="214"/>
      <c r="F2" s="214"/>
      <c r="G2" s="214"/>
      <c r="H2" s="214"/>
      <c r="I2" s="214"/>
      <c r="J2" s="214"/>
      <c r="K2" s="215" t="s">
        <v>135</v>
      </c>
      <c r="L2" s="215" t="s">
        <v>136</v>
      </c>
      <c r="M2" s="215"/>
      <c r="N2" s="214"/>
      <c r="O2" s="214"/>
      <c r="P2" s="214"/>
      <c r="Q2" s="214"/>
      <c r="R2" s="216"/>
    </row>
    <row r="3" spans="2:18">
      <c r="B3" s="210" t="s">
        <v>45</v>
      </c>
      <c r="C3" s="211">
        <v>29</v>
      </c>
      <c r="D3" s="211"/>
      <c r="E3" s="211"/>
      <c r="F3" s="211"/>
      <c r="G3" s="211"/>
      <c r="H3" s="211"/>
      <c r="I3" s="211"/>
      <c r="J3" s="211"/>
      <c r="K3" s="211">
        <f>SUM(C3:J3)</f>
        <v>29</v>
      </c>
      <c r="L3" s="211">
        <v>0</v>
      </c>
      <c r="M3" s="211"/>
      <c r="N3" s="211"/>
      <c r="O3" s="211"/>
      <c r="P3" s="211"/>
      <c r="Q3" s="211"/>
      <c r="R3" s="212"/>
    </row>
    <row r="4" spans="2:18">
      <c r="B4" s="206" t="s">
        <v>37</v>
      </c>
      <c r="C4" s="205">
        <v>25</v>
      </c>
      <c r="D4" s="205"/>
      <c r="E4" s="205"/>
      <c r="F4" s="205"/>
      <c r="G4" s="205"/>
      <c r="H4" s="205"/>
      <c r="I4" s="205"/>
      <c r="J4" s="205"/>
      <c r="K4" s="205">
        <f>SUM(C4:J4)</f>
        <v>25</v>
      </c>
      <c r="L4" s="205">
        <v>0</v>
      </c>
      <c r="M4" s="205"/>
      <c r="N4" s="205"/>
      <c r="O4" s="205" t="s">
        <v>84</v>
      </c>
      <c r="P4" s="205"/>
      <c r="Q4" s="205"/>
      <c r="R4" s="207"/>
    </row>
    <row r="5" spans="2:18">
      <c r="B5" s="206" t="s">
        <v>33</v>
      </c>
      <c r="C5" s="205">
        <v>10</v>
      </c>
      <c r="D5" s="205">
        <v>1</v>
      </c>
      <c r="E5" s="205">
        <v>2</v>
      </c>
      <c r="F5" s="205">
        <v>2</v>
      </c>
      <c r="G5" s="205"/>
      <c r="H5" s="205"/>
      <c r="I5" s="205"/>
      <c r="J5" s="205"/>
      <c r="K5" s="205">
        <v>16</v>
      </c>
      <c r="L5" s="205">
        <v>1</v>
      </c>
      <c r="M5" s="205"/>
      <c r="N5" s="205"/>
      <c r="O5" s="205" t="s">
        <v>139</v>
      </c>
      <c r="P5" s="205" t="s">
        <v>140</v>
      </c>
      <c r="Q5" s="205" t="s">
        <v>141</v>
      </c>
      <c r="R5" s="207"/>
    </row>
    <row r="6" spans="2:18">
      <c r="B6" s="206" t="s">
        <v>60</v>
      </c>
      <c r="C6" s="205">
        <v>14</v>
      </c>
      <c r="D6" s="205"/>
      <c r="E6" s="205"/>
      <c r="F6" s="205"/>
      <c r="G6" s="205"/>
      <c r="H6" s="205"/>
      <c r="I6" s="205"/>
      <c r="J6" s="205"/>
      <c r="K6" s="205">
        <f>SUM(C6:J6)</f>
        <v>14</v>
      </c>
      <c r="L6" s="205">
        <v>3</v>
      </c>
      <c r="M6" s="205"/>
      <c r="N6" s="205"/>
      <c r="O6" s="205" t="s">
        <v>84</v>
      </c>
      <c r="P6" s="205" t="s">
        <v>138</v>
      </c>
      <c r="Q6" s="205" t="s">
        <v>142</v>
      </c>
      <c r="R6" s="207" t="s">
        <v>133</v>
      </c>
    </row>
    <row r="7" spans="2:18">
      <c r="B7" s="206" t="s">
        <v>38</v>
      </c>
      <c r="C7" s="205">
        <v>1</v>
      </c>
      <c r="D7" s="205">
        <v>3</v>
      </c>
      <c r="E7" s="205">
        <v>3</v>
      </c>
      <c r="F7" s="205">
        <v>5</v>
      </c>
      <c r="G7" s="205"/>
      <c r="H7" s="205"/>
      <c r="I7" s="205"/>
      <c r="J7" s="205"/>
      <c r="K7" s="205">
        <v>13</v>
      </c>
      <c r="L7" s="205">
        <v>1</v>
      </c>
      <c r="M7" s="205"/>
      <c r="N7" s="205"/>
      <c r="O7" s="205" t="s">
        <v>84</v>
      </c>
      <c r="P7" s="205" t="s">
        <v>138</v>
      </c>
      <c r="Q7" s="205" t="s">
        <v>142</v>
      </c>
      <c r="R7" s="207" t="s">
        <v>133</v>
      </c>
    </row>
    <row r="8" spans="2:18">
      <c r="B8" s="206" t="s">
        <v>35</v>
      </c>
      <c r="C8" s="205">
        <v>9</v>
      </c>
      <c r="D8" s="205">
        <v>3</v>
      </c>
      <c r="E8" s="205">
        <v>1</v>
      </c>
      <c r="F8" s="205"/>
      <c r="G8" s="205"/>
      <c r="H8" s="205"/>
      <c r="I8" s="205"/>
      <c r="J8" s="205"/>
      <c r="K8" s="205">
        <v>12</v>
      </c>
      <c r="L8" s="205">
        <v>1</v>
      </c>
      <c r="M8" s="205"/>
      <c r="N8" s="205"/>
      <c r="O8" s="205" t="s">
        <v>139</v>
      </c>
      <c r="P8" s="205" t="s">
        <v>140</v>
      </c>
      <c r="Q8" s="205" t="s">
        <v>141</v>
      </c>
      <c r="R8" s="207"/>
    </row>
    <row r="9" spans="2:18">
      <c r="B9" s="206" t="s">
        <v>41</v>
      </c>
      <c r="C9" s="205">
        <v>12</v>
      </c>
      <c r="D9" s="205"/>
      <c r="E9" s="205"/>
      <c r="F9" s="205"/>
      <c r="G9" s="205"/>
      <c r="H9" s="205"/>
      <c r="I9" s="205"/>
      <c r="J9" s="205"/>
      <c r="K9" s="205">
        <f t="shared" ref="K9:K16" si="0">SUM(C9:J9)</f>
        <v>12</v>
      </c>
      <c r="L9" s="205">
        <v>4</v>
      </c>
      <c r="M9" s="205"/>
      <c r="N9" s="205"/>
      <c r="O9" s="205" t="s">
        <v>84</v>
      </c>
      <c r="P9" s="205" t="s">
        <v>138</v>
      </c>
      <c r="Q9" s="205" t="s">
        <v>142</v>
      </c>
      <c r="R9" s="207" t="s">
        <v>133</v>
      </c>
    </row>
    <row r="10" spans="2:18">
      <c r="B10" s="206" t="s">
        <v>43</v>
      </c>
      <c r="C10" s="205">
        <v>12</v>
      </c>
      <c r="D10" s="205"/>
      <c r="E10" s="205"/>
      <c r="F10" s="205"/>
      <c r="G10" s="205"/>
      <c r="H10" s="205"/>
      <c r="I10" s="205"/>
      <c r="J10" s="205"/>
      <c r="K10" s="205">
        <f t="shared" si="0"/>
        <v>12</v>
      </c>
      <c r="L10" s="205">
        <v>3</v>
      </c>
      <c r="M10" s="205"/>
      <c r="N10" s="205"/>
      <c r="O10" s="205" t="s">
        <v>84</v>
      </c>
      <c r="P10" s="205" t="s">
        <v>138</v>
      </c>
      <c r="Q10" s="205" t="s">
        <v>142</v>
      </c>
      <c r="R10" s="207" t="s">
        <v>133</v>
      </c>
    </row>
    <row r="11" spans="2:18">
      <c r="B11" s="206" t="s">
        <v>62</v>
      </c>
      <c r="C11" s="205">
        <v>12</v>
      </c>
      <c r="D11" s="205"/>
      <c r="E11" s="205"/>
      <c r="F11" s="205"/>
      <c r="G11" s="205"/>
      <c r="H11" s="205"/>
      <c r="I11" s="205"/>
      <c r="J11" s="205"/>
      <c r="K11" s="205">
        <f t="shared" si="0"/>
        <v>12</v>
      </c>
      <c r="L11" s="205">
        <v>1</v>
      </c>
      <c r="M11" s="205"/>
      <c r="N11" s="205"/>
      <c r="O11" s="205" t="s">
        <v>84</v>
      </c>
      <c r="P11" s="205" t="s">
        <v>138</v>
      </c>
      <c r="Q11" s="205" t="s">
        <v>142</v>
      </c>
      <c r="R11" s="205" t="s">
        <v>141</v>
      </c>
    </row>
    <row r="12" spans="2:18">
      <c r="B12" s="206" t="s">
        <v>64</v>
      </c>
      <c r="C12" s="205">
        <v>12</v>
      </c>
      <c r="D12" s="205"/>
      <c r="E12" s="205"/>
      <c r="F12" s="205"/>
      <c r="G12" s="205"/>
      <c r="H12" s="205"/>
      <c r="I12" s="205"/>
      <c r="J12" s="205"/>
      <c r="K12" s="205">
        <f t="shared" si="0"/>
        <v>12</v>
      </c>
      <c r="L12" s="205">
        <v>5</v>
      </c>
      <c r="M12" s="205"/>
      <c r="N12" s="205"/>
      <c r="O12" s="205" t="s">
        <v>84</v>
      </c>
      <c r="P12" s="205" t="s">
        <v>138</v>
      </c>
      <c r="Q12" s="205" t="s">
        <v>142</v>
      </c>
      <c r="R12" s="207" t="s">
        <v>133</v>
      </c>
    </row>
    <row r="13" spans="2:18">
      <c r="B13" s="206" t="s">
        <v>47</v>
      </c>
      <c r="C13" s="205">
        <v>11</v>
      </c>
      <c r="D13" s="205"/>
      <c r="E13" s="205"/>
      <c r="F13" s="205"/>
      <c r="G13" s="205"/>
      <c r="H13" s="205"/>
      <c r="I13" s="205"/>
      <c r="J13" s="205"/>
      <c r="K13" s="205">
        <f t="shared" si="0"/>
        <v>11</v>
      </c>
      <c r="L13" s="205">
        <v>2</v>
      </c>
      <c r="M13" s="205"/>
      <c r="N13" s="205"/>
      <c r="O13" s="205" t="s">
        <v>84</v>
      </c>
      <c r="P13" s="205" t="s">
        <v>138</v>
      </c>
      <c r="Q13" s="205" t="s">
        <v>142</v>
      </c>
      <c r="R13" s="207" t="s">
        <v>133</v>
      </c>
    </row>
    <row r="14" spans="2:18">
      <c r="B14" s="206" t="s">
        <v>49</v>
      </c>
      <c r="C14" s="205">
        <v>11</v>
      </c>
      <c r="D14" s="205"/>
      <c r="E14" s="205"/>
      <c r="F14" s="205"/>
      <c r="G14" s="205"/>
      <c r="H14" s="205"/>
      <c r="I14" s="205"/>
      <c r="J14" s="205"/>
      <c r="K14" s="205">
        <f t="shared" si="0"/>
        <v>11</v>
      </c>
      <c r="L14" s="205">
        <v>0</v>
      </c>
      <c r="M14" s="205"/>
      <c r="N14" s="205"/>
      <c r="O14" s="205" t="s">
        <v>84</v>
      </c>
      <c r="P14" s="205" t="s">
        <v>138</v>
      </c>
      <c r="Q14" s="205" t="s">
        <v>142</v>
      </c>
      <c r="R14" s="205" t="s">
        <v>141</v>
      </c>
    </row>
    <row r="15" spans="2:18">
      <c r="B15" s="206" t="s">
        <v>55</v>
      </c>
      <c r="C15" s="205">
        <v>11</v>
      </c>
      <c r="D15" s="205"/>
      <c r="E15" s="205"/>
      <c r="F15" s="205"/>
      <c r="G15" s="205"/>
      <c r="H15" s="205"/>
      <c r="I15" s="205"/>
      <c r="J15" s="205"/>
      <c r="K15" s="205">
        <f t="shared" si="0"/>
        <v>11</v>
      </c>
      <c r="L15" s="205">
        <v>0</v>
      </c>
      <c r="M15" s="205"/>
      <c r="N15" s="205"/>
      <c r="O15" s="205" t="s">
        <v>84</v>
      </c>
      <c r="P15" s="205" t="s">
        <v>138</v>
      </c>
      <c r="Q15" s="205" t="s">
        <v>142</v>
      </c>
      <c r="R15" s="207" t="s">
        <v>133</v>
      </c>
    </row>
    <row r="16" spans="2:18">
      <c r="B16" s="206" t="s">
        <v>53</v>
      </c>
      <c r="C16" s="205">
        <v>10</v>
      </c>
      <c r="D16" s="205"/>
      <c r="E16" s="205"/>
      <c r="F16" s="205"/>
      <c r="G16" s="205"/>
      <c r="H16" s="205"/>
      <c r="I16" s="205"/>
      <c r="J16" s="205"/>
      <c r="K16" s="205">
        <f t="shared" si="0"/>
        <v>10</v>
      </c>
      <c r="L16" s="205">
        <v>1</v>
      </c>
      <c r="M16" s="205"/>
      <c r="N16" s="205"/>
      <c r="O16" s="205" t="s">
        <v>84</v>
      </c>
      <c r="P16" s="205" t="s">
        <v>138</v>
      </c>
      <c r="Q16" s="205" t="s">
        <v>142</v>
      </c>
      <c r="R16" s="205" t="s">
        <v>141</v>
      </c>
    </row>
    <row r="17" spans="2:18">
      <c r="B17" s="206" t="s">
        <v>40</v>
      </c>
      <c r="C17" s="205">
        <v>9</v>
      </c>
      <c r="D17" s="205"/>
      <c r="E17" s="205"/>
      <c r="F17" s="205"/>
      <c r="G17" s="205"/>
      <c r="H17" s="205"/>
      <c r="I17" s="205"/>
      <c r="J17" s="205"/>
      <c r="K17" s="205">
        <v>9</v>
      </c>
      <c r="L17" s="205">
        <v>0</v>
      </c>
      <c r="M17" s="205"/>
      <c r="N17" s="205" t="s">
        <v>134</v>
      </c>
      <c r="O17" s="205" t="s">
        <v>84</v>
      </c>
      <c r="P17" s="205" t="s">
        <v>137</v>
      </c>
      <c r="Q17" s="205"/>
      <c r="R17" s="205" t="s">
        <v>138</v>
      </c>
    </row>
    <row r="18" spans="2:18">
      <c r="B18" s="206" t="s">
        <v>51</v>
      </c>
      <c r="C18" s="205">
        <v>9</v>
      </c>
      <c r="D18" s="205"/>
      <c r="E18" s="205"/>
      <c r="F18" s="205"/>
      <c r="G18" s="205"/>
      <c r="H18" s="205"/>
      <c r="I18" s="205"/>
      <c r="J18" s="205"/>
      <c r="K18" s="205">
        <f>SUM(C18:J18)</f>
        <v>9</v>
      </c>
      <c r="L18" s="205">
        <v>1</v>
      </c>
      <c r="M18" s="205"/>
      <c r="N18" s="205"/>
      <c r="O18" s="205" t="s">
        <v>84</v>
      </c>
      <c r="P18" s="205" t="s">
        <v>138</v>
      </c>
      <c r="Q18" s="205" t="s">
        <v>142</v>
      </c>
      <c r="R18" s="205" t="s">
        <v>141</v>
      </c>
    </row>
    <row r="19" spans="2:18">
      <c r="B19" s="206" t="s">
        <v>58</v>
      </c>
      <c r="C19" s="205">
        <v>7</v>
      </c>
      <c r="D19" s="205"/>
      <c r="E19" s="205"/>
      <c r="F19" s="205"/>
      <c r="G19" s="205"/>
      <c r="H19" s="205"/>
      <c r="I19" s="205"/>
      <c r="J19" s="205"/>
      <c r="K19" s="205">
        <f>SUM(C19:J19)</f>
        <v>7</v>
      </c>
      <c r="L19" s="205">
        <v>1</v>
      </c>
      <c r="M19" s="205"/>
      <c r="N19" s="205"/>
      <c r="O19" s="205" t="s">
        <v>84</v>
      </c>
      <c r="P19" s="205" t="s">
        <v>138</v>
      </c>
      <c r="Q19" s="205" t="s">
        <v>142</v>
      </c>
      <c r="R19" s="205" t="s">
        <v>141</v>
      </c>
    </row>
    <row r="20" spans="2:18">
      <c r="B20" s="217" t="s">
        <v>66</v>
      </c>
      <c r="C20" s="218"/>
      <c r="D20" s="218"/>
      <c r="E20" s="218"/>
      <c r="F20" s="218"/>
      <c r="G20" s="218"/>
      <c r="H20" s="218"/>
      <c r="I20" s="218"/>
      <c r="J20" s="218"/>
      <c r="K20" s="218">
        <f>SUM(K3:K19)</f>
        <v>225</v>
      </c>
      <c r="L20" s="219">
        <f>K20*40000</f>
        <v>9000000</v>
      </c>
      <c r="M20" s="205"/>
      <c r="N20" s="205"/>
      <c r="O20" s="205"/>
      <c r="P20" s="205"/>
      <c r="Q20" s="205"/>
      <c r="R20" s="207"/>
    </row>
    <row r="21" spans="2:18" ht="15" thickBot="1">
      <c r="B21" s="220" t="s">
        <v>87</v>
      </c>
      <c r="C21" s="221"/>
      <c r="D21" s="221"/>
      <c r="E21" s="221"/>
      <c r="F21" s="221"/>
      <c r="G21" s="221"/>
      <c r="H21" s="221"/>
      <c r="I21" s="221"/>
      <c r="J21" s="221"/>
      <c r="K21" s="221">
        <f>AVERAGE(K3:K19)</f>
        <v>13.235294117647058</v>
      </c>
      <c r="L21" s="221"/>
      <c r="M21" s="208"/>
      <c r="N21" s="208"/>
      <c r="O21" s="208"/>
      <c r="P21" s="208"/>
      <c r="Q21" s="208"/>
      <c r="R21" s="209"/>
    </row>
  </sheetData>
  <autoFilter ref="B2:R19" xr:uid="{5D83FB81-E29F-4F05-BB8E-5D77C398E0F7}">
    <sortState xmlns:xlrd2="http://schemas.microsoft.com/office/spreadsheetml/2017/richdata2" ref="B3:R19">
      <sortCondition descending="1" ref="K2:K19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BF24D489CBF046ABFECD6075C1EE24" ma:contentTypeVersion="3" ma:contentTypeDescription="Create a new document." ma:contentTypeScope="" ma:versionID="273f2e43c04c69f98b3905826af7085a">
  <xsd:schema xmlns:xsd="http://www.w3.org/2001/XMLSchema" xmlns:xs="http://www.w3.org/2001/XMLSchema" xmlns:p="http://schemas.microsoft.com/office/2006/metadata/properties" xmlns:ns3="89cbcfaa-e6de-4002-9cfc-c452cbf56120" targetNamespace="http://schemas.microsoft.com/office/2006/metadata/properties" ma:root="true" ma:fieldsID="9c370c4b63075d2a89f943892e533001" ns3:_="">
    <xsd:import namespace="89cbcfaa-e6de-4002-9cfc-c452cbf561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bcfaa-e6de-4002-9cfc-c452cbf56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1F68AA-8A36-4166-AD6C-268C12D4D66D}">
  <ds:schemaRefs>
    <ds:schemaRef ds:uri="89cbcfaa-e6de-4002-9cfc-c452cbf56120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F357077-E46F-42D1-B2F9-8F620B03D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bcfaa-e6de-4002-9cfc-c452cbf561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01F144-10E9-45C4-B7E7-B01764CDC4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OPS Dashboard</vt:lpstr>
      <vt:lpstr>2023 REVENUE PERFORMANCE</vt:lpstr>
      <vt:lpstr>2023 MILEAGE PERFORMANCE</vt:lpstr>
      <vt:lpstr>DELAY TRACKER 24</vt:lpstr>
      <vt:lpstr>Sheet2</vt:lpstr>
      <vt:lpstr>JULY 24</vt:lpstr>
      <vt:lpstr>JUNE 24</vt:lpstr>
      <vt:lpstr>MAY 24</vt:lpstr>
      <vt:lpstr>APR 24</vt:lpstr>
      <vt:lpstr>MAR 24</vt:lpstr>
      <vt:lpstr>FEB 24</vt:lpstr>
      <vt:lpstr>JAN 24</vt:lpstr>
      <vt:lpstr>December 23</vt:lpstr>
      <vt:lpstr>November</vt:lpstr>
      <vt:lpstr>October 23</vt:lpstr>
      <vt:lpstr>September 23</vt:lpstr>
      <vt:lpstr>August 23</vt:lpstr>
      <vt:lpstr>July 23</vt:lpstr>
      <vt:lpstr>June 23</vt:lpstr>
      <vt:lpstr>May 23</vt:lpstr>
      <vt:lpstr>April 23</vt:lpstr>
      <vt:lpstr>March 23</vt:lpstr>
      <vt:lpstr>2022 REVENUE PERFORMANCE</vt:lpstr>
      <vt:lpstr>2022 MILEAGE PERFORMANCE</vt:lpstr>
      <vt:lpstr>Sheet1</vt:lpstr>
      <vt:lpstr>JULY DELAYS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Joe</dc:creator>
  <cp:lastModifiedBy>Stephen</cp:lastModifiedBy>
  <dcterms:created xsi:type="dcterms:W3CDTF">2023-02-21T06:55:45Z</dcterms:created>
  <dcterms:modified xsi:type="dcterms:W3CDTF">2024-07-11T08:05:13Z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0x01010057BF24D489CBF046ABFECD6075C1EE24</vt:lpwstr>
  </property>
</Properties>
</file>